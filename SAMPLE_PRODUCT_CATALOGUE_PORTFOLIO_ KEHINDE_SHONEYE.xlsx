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S_Shoneye\Desktop\"/>
    </mc:Choice>
  </mc:AlternateContent>
  <bookViews>
    <workbookView xWindow="240" yWindow="75" windowWidth="20115" windowHeight="7995" firstSheet="2" activeTab="6"/>
  </bookViews>
  <sheets>
    <sheet name="Product Catalogue" sheetId="1" r:id="rId1"/>
    <sheet name="Duplicate Review" sheetId="4" r:id="rId2"/>
    <sheet name="Taxonomy" sheetId="2" r:id="rId3"/>
    <sheet name="Supplier Mapping" sheetId="3" r:id="rId4"/>
    <sheet name="Data Quality" sheetId="5" r:id="rId5"/>
    <sheet name="PIM Data Management" sheetId="6" r:id="rId6"/>
    <sheet name="Portfolio Overview" sheetId="7" r:id="rId7"/>
  </sheets>
  <definedNames>
    <definedName name="_xlnm._FilterDatabase" localSheetId="0" hidden="1">'Product Catalogue'!$A$2:$L$52</definedName>
    <definedName name="_xlnm._FilterDatabase" localSheetId="3" hidden="1">'Supplier Mapping'!$A$1:$D$51</definedName>
    <definedName name="_xlnm._FilterDatabase" localSheetId="2" hidden="1">Taxonomy!$A$1:$C$1</definedName>
    <definedName name="_xlnm.Print_Area" localSheetId="4">'Data Quality'!$A$1:$D$13</definedName>
    <definedName name="_xlnm.Print_Area" localSheetId="5">'PIM Data Management'!$A$1:$O$51</definedName>
  </definedNames>
  <calcPr calcId="152511"/>
</workbook>
</file>

<file path=xl/calcChain.xml><?xml version="1.0" encoding="utf-8"?>
<calcChain xmlns="http://schemas.openxmlformats.org/spreadsheetml/2006/main">
  <c r="O7" i="6" l="1"/>
  <c r="O6" i="6"/>
  <c r="O5" i="6"/>
  <c r="O4" i="6"/>
  <c r="O3" i="6"/>
  <c r="O2" i="6"/>
  <c r="H51" i="6" l="1"/>
  <c r="G51" i="6"/>
  <c r="J51" i="6" s="1"/>
  <c r="F51" i="6"/>
  <c r="E51" i="6"/>
  <c r="D51" i="6"/>
  <c r="C51" i="6"/>
  <c r="K51" i="6" s="1"/>
  <c r="B51" i="6"/>
  <c r="A51" i="6"/>
  <c r="I51" i="6" s="1"/>
  <c r="L51" i="6" s="1"/>
  <c r="H50" i="6"/>
  <c r="G50" i="6"/>
  <c r="J50" i="6" s="1"/>
  <c r="F50" i="6"/>
  <c r="E50" i="6"/>
  <c r="D50" i="6"/>
  <c r="C50" i="6"/>
  <c r="K50" i="6" s="1"/>
  <c r="B50" i="6"/>
  <c r="A50" i="6"/>
  <c r="I50" i="6" s="1"/>
  <c r="L50" i="6" s="1"/>
  <c r="H49" i="6"/>
  <c r="G49" i="6"/>
  <c r="J49" i="6" s="1"/>
  <c r="F49" i="6"/>
  <c r="E49" i="6"/>
  <c r="D49" i="6"/>
  <c r="C49" i="6"/>
  <c r="K49" i="6" s="1"/>
  <c r="B49" i="6"/>
  <c r="A49" i="6"/>
  <c r="I49" i="6" s="1"/>
  <c r="L49" i="6" s="1"/>
  <c r="H48" i="6"/>
  <c r="G48" i="6"/>
  <c r="J48" i="6" s="1"/>
  <c r="F48" i="6"/>
  <c r="E48" i="6"/>
  <c r="D48" i="6"/>
  <c r="C48" i="6"/>
  <c r="K48" i="6" s="1"/>
  <c r="B48" i="6"/>
  <c r="A48" i="6"/>
  <c r="I48" i="6" s="1"/>
  <c r="L48" i="6" s="1"/>
  <c r="H47" i="6"/>
  <c r="G47" i="6"/>
  <c r="J47" i="6" s="1"/>
  <c r="F47" i="6"/>
  <c r="E47" i="6"/>
  <c r="D47" i="6"/>
  <c r="C47" i="6"/>
  <c r="K47" i="6" s="1"/>
  <c r="B47" i="6"/>
  <c r="A47" i="6"/>
  <c r="I47" i="6" s="1"/>
  <c r="L47" i="6" s="1"/>
  <c r="H46" i="6"/>
  <c r="G46" i="6"/>
  <c r="J46" i="6" s="1"/>
  <c r="F46" i="6"/>
  <c r="E46" i="6"/>
  <c r="D46" i="6"/>
  <c r="C46" i="6"/>
  <c r="K46" i="6" s="1"/>
  <c r="B46" i="6"/>
  <c r="A46" i="6"/>
  <c r="I46" i="6" s="1"/>
  <c r="L46" i="6" s="1"/>
  <c r="H45" i="6"/>
  <c r="G45" i="6"/>
  <c r="J45" i="6" s="1"/>
  <c r="F45" i="6"/>
  <c r="E45" i="6"/>
  <c r="D45" i="6"/>
  <c r="C45" i="6"/>
  <c r="K45" i="6" s="1"/>
  <c r="B45" i="6"/>
  <c r="A45" i="6"/>
  <c r="I45" i="6" s="1"/>
  <c r="L45" i="6" s="1"/>
  <c r="H44" i="6"/>
  <c r="G44" i="6"/>
  <c r="J44" i="6" s="1"/>
  <c r="F44" i="6"/>
  <c r="E44" i="6"/>
  <c r="D44" i="6"/>
  <c r="C44" i="6"/>
  <c r="K44" i="6" s="1"/>
  <c r="B44" i="6"/>
  <c r="A44" i="6"/>
  <c r="I44" i="6" s="1"/>
  <c r="L44" i="6" s="1"/>
  <c r="H43" i="6"/>
  <c r="G43" i="6"/>
  <c r="J43" i="6" s="1"/>
  <c r="F43" i="6"/>
  <c r="E43" i="6"/>
  <c r="D43" i="6"/>
  <c r="C43" i="6"/>
  <c r="K43" i="6" s="1"/>
  <c r="B43" i="6"/>
  <c r="A43" i="6"/>
  <c r="I43" i="6" s="1"/>
  <c r="L43" i="6" s="1"/>
  <c r="H42" i="6"/>
  <c r="G42" i="6"/>
  <c r="J42" i="6" s="1"/>
  <c r="F42" i="6"/>
  <c r="E42" i="6"/>
  <c r="D42" i="6"/>
  <c r="C42" i="6"/>
  <c r="K42" i="6" s="1"/>
  <c r="B42" i="6"/>
  <c r="A42" i="6"/>
  <c r="I42" i="6" s="1"/>
  <c r="L42" i="6" s="1"/>
  <c r="H41" i="6"/>
  <c r="G41" i="6"/>
  <c r="J41" i="6" s="1"/>
  <c r="F41" i="6"/>
  <c r="E41" i="6"/>
  <c r="D41" i="6"/>
  <c r="C41" i="6"/>
  <c r="K41" i="6" s="1"/>
  <c r="B41" i="6"/>
  <c r="A41" i="6"/>
  <c r="I41" i="6" s="1"/>
  <c r="L41" i="6" s="1"/>
  <c r="H40" i="6"/>
  <c r="G40" i="6"/>
  <c r="J40" i="6" s="1"/>
  <c r="F40" i="6"/>
  <c r="E40" i="6"/>
  <c r="D40" i="6"/>
  <c r="C40" i="6"/>
  <c r="K40" i="6" s="1"/>
  <c r="B40" i="6"/>
  <c r="A40" i="6"/>
  <c r="I40" i="6" s="1"/>
  <c r="L40" i="6" s="1"/>
  <c r="H39" i="6"/>
  <c r="G39" i="6"/>
  <c r="J39" i="6" s="1"/>
  <c r="F39" i="6"/>
  <c r="E39" i="6"/>
  <c r="D39" i="6"/>
  <c r="C39" i="6"/>
  <c r="K39" i="6" s="1"/>
  <c r="B39" i="6"/>
  <c r="A39" i="6"/>
  <c r="I39" i="6" s="1"/>
  <c r="L39" i="6" s="1"/>
  <c r="H38" i="6"/>
  <c r="G38" i="6"/>
  <c r="J38" i="6" s="1"/>
  <c r="F38" i="6"/>
  <c r="E38" i="6"/>
  <c r="D38" i="6"/>
  <c r="C38" i="6"/>
  <c r="K38" i="6" s="1"/>
  <c r="B38" i="6"/>
  <c r="A38" i="6"/>
  <c r="I38" i="6" s="1"/>
  <c r="L38" i="6" s="1"/>
  <c r="H37" i="6"/>
  <c r="G37" i="6"/>
  <c r="J37" i="6" s="1"/>
  <c r="F37" i="6"/>
  <c r="E37" i="6"/>
  <c r="D37" i="6"/>
  <c r="C37" i="6"/>
  <c r="K37" i="6" s="1"/>
  <c r="B37" i="6"/>
  <c r="A37" i="6"/>
  <c r="I37" i="6" s="1"/>
  <c r="L37" i="6" s="1"/>
  <c r="H36" i="6"/>
  <c r="G36" i="6"/>
  <c r="J36" i="6" s="1"/>
  <c r="F36" i="6"/>
  <c r="E36" i="6"/>
  <c r="D36" i="6"/>
  <c r="C36" i="6"/>
  <c r="K36" i="6" s="1"/>
  <c r="B36" i="6"/>
  <c r="A36" i="6"/>
  <c r="I36" i="6" s="1"/>
  <c r="L36" i="6" s="1"/>
  <c r="H35" i="6"/>
  <c r="G35" i="6"/>
  <c r="J35" i="6" s="1"/>
  <c r="F35" i="6"/>
  <c r="E35" i="6"/>
  <c r="D35" i="6"/>
  <c r="C35" i="6"/>
  <c r="K35" i="6" s="1"/>
  <c r="B35" i="6"/>
  <c r="A35" i="6"/>
  <c r="I35" i="6" s="1"/>
  <c r="L35" i="6" s="1"/>
  <c r="H34" i="6"/>
  <c r="G34" i="6"/>
  <c r="J34" i="6" s="1"/>
  <c r="F34" i="6"/>
  <c r="E34" i="6"/>
  <c r="D34" i="6"/>
  <c r="C34" i="6"/>
  <c r="K34" i="6" s="1"/>
  <c r="B34" i="6"/>
  <c r="A34" i="6"/>
  <c r="I34" i="6" s="1"/>
  <c r="L34" i="6" s="1"/>
  <c r="H33" i="6"/>
  <c r="G33" i="6"/>
  <c r="J33" i="6" s="1"/>
  <c r="F33" i="6"/>
  <c r="E33" i="6"/>
  <c r="D33" i="6"/>
  <c r="C33" i="6"/>
  <c r="K33" i="6" s="1"/>
  <c r="B33" i="6"/>
  <c r="A33" i="6"/>
  <c r="I33" i="6" s="1"/>
  <c r="L33" i="6" s="1"/>
  <c r="H32" i="6"/>
  <c r="G32" i="6"/>
  <c r="J32" i="6" s="1"/>
  <c r="F32" i="6"/>
  <c r="E32" i="6"/>
  <c r="D32" i="6"/>
  <c r="C32" i="6"/>
  <c r="K32" i="6" s="1"/>
  <c r="B32" i="6"/>
  <c r="A32" i="6"/>
  <c r="I32" i="6" s="1"/>
  <c r="L32" i="6" s="1"/>
  <c r="H31" i="6"/>
  <c r="G31" i="6"/>
  <c r="J31" i="6" s="1"/>
  <c r="F31" i="6"/>
  <c r="E31" i="6"/>
  <c r="D31" i="6"/>
  <c r="C31" i="6"/>
  <c r="K31" i="6" s="1"/>
  <c r="B31" i="6"/>
  <c r="A31" i="6"/>
  <c r="I31" i="6" s="1"/>
  <c r="L31" i="6" s="1"/>
  <c r="H30" i="6"/>
  <c r="G30" i="6"/>
  <c r="J30" i="6" s="1"/>
  <c r="F30" i="6"/>
  <c r="E30" i="6"/>
  <c r="D30" i="6"/>
  <c r="C30" i="6"/>
  <c r="K30" i="6" s="1"/>
  <c r="B30" i="6"/>
  <c r="A30" i="6"/>
  <c r="I30" i="6" s="1"/>
  <c r="L30" i="6" s="1"/>
  <c r="H29" i="6"/>
  <c r="G29" i="6"/>
  <c r="J29" i="6" s="1"/>
  <c r="F29" i="6"/>
  <c r="E29" i="6"/>
  <c r="D29" i="6"/>
  <c r="C29" i="6"/>
  <c r="K29" i="6" s="1"/>
  <c r="B29" i="6"/>
  <c r="A29" i="6"/>
  <c r="I29" i="6" s="1"/>
  <c r="L29" i="6" s="1"/>
  <c r="H28" i="6"/>
  <c r="G28" i="6"/>
  <c r="J28" i="6" s="1"/>
  <c r="F28" i="6"/>
  <c r="E28" i="6"/>
  <c r="D28" i="6"/>
  <c r="C28" i="6"/>
  <c r="K28" i="6" s="1"/>
  <c r="B28" i="6"/>
  <c r="A28" i="6"/>
  <c r="I28" i="6" s="1"/>
  <c r="L28" i="6" s="1"/>
  <c r="H27" i="6"/>
  <c r="G27" i="6"/>
  <c r="J27" i="6" s="1"/>
  <c r="F27" i="6"/>
  <c r="E27" i="6"/>
  <c r="D27" i="6"/>
  <c r="C27" i="6"/>
  <c r="K27" i="6" s="1"/>
  <c r="B27" i="6"/>
  <c r="A27" i="6"/>
  <c r="I27" i="6" s="1"/>
  <c r="L27" i="6" s="1"/>
  <c r="H26" i="6"/>
  <c r="G26" i="6"/>
  <c r="J26" i="6" s="1"/>
  <c r="F26" i="6"/>
  <c r="E26" i="6"/>
  <c r="D26" i="6"/>
  <c r="C26" i="6"/>
  <c r="K26" i="6" s="1"/>
  <c r="B26" i="6"/>
  <c r="A26" i="6"/>
  <c r="I26" i="6" s="1"/>
  <c r="L26" i="6" s="1"/>
  <c r="H25" i="6"/>
  <c r="G25" i="6"/>
  <c r="J25" i="6" s="1"/>
  <c r="F25" i="6"/>
  <c r="E25" i="6"/>
  <c r="D25" i="6"/>
  <c r="C25" i="6"/>
  <c r="K25" i="6" s="1"/>
  <c r="B25" i="6"/>
  <c r="A25" i="6"/>
  <c r="I25" i="6" s="1"/>
  <c r="L25" i="6" s="1"/>
  <c r="H24" i="6"/>
  <c r="G24" i="6"/>
  <c r="J24" i="6" s="1"/>
  <c r="F24" i="6"/>
  <c r="E24" i="6"/>
  <c r="D24" i="6"/>
  <c r="C24" i="6"/>
  <c r="K24" i="6" s="1"/>
  <c r="B24" i="6"/>
  <c r="A24" i="6"/>
  <c r="I24" i="6" s="1"/>
  <c r="L24" i="6" s="1"/>
  <c r="H23" i="6"/>
  <c r="G23" i="6"/>
  <c r="J23" i="6" s="1"/>
  <c r="F23" i="6"/>
  <c r="E23" i="6"/>
  <c r="D23" i="6"/>
  <c r="C23" i="6"/>
  <c r="K23" i="6" s="1"/>
  <c r="B23" i="6"/>
  <c r="A23" i="6"/>
  <c r="I23" i="6" s="1"/>
  <c r="L23" i="6" s="1"/>
  <c r="H22" i="6"/>
  <c r="G22" i="6"/>
  <c r="J22" i="6" s="1"/>
  <c r="F22" i="6"/>
  <c r="E22" i="6"/>
  <c r="D22" i="6"/>
  <c r="C22" i="6"/>
  <c r="K22" i="6" s="1"/>
  <c r="B22" i="6"/>
  <c r="A22" i="6"/>
  <c r="I22" i="6" s="1"/>
  <c r="L22" i="6" s="1"/>
  <c r="H21" i="6"/>
  <c r="G21" i="6"/>
  <c r="J21" i="6" s="1"/>
  <c r="F21" i="6"/>
  <c r="E21" i="6"/>
  <c r="D21" i="6"/>
  <c r="C21" i="6"/>
  <c r="K21" i="6" s="1"/>
  <c r="B21" i="6"/>
  <c r="A21" i="6"/>
  <c r="I21" i="6" s="1"/>
  <c r="L21" i="6" s="1"/>
  <c r="H20" i="6"/>
  <c r="G20" i="6"/>
  <c r="J20" i="6" s="1"/>
  <c r="F20" i="6"/>
  <c r="E20" i="6"/>
  <c r="D20" i="6"/>
  <c r="C20" i="6"/>
  <c r="K20" i="6" s="1"/>
  <c r="B20" i="6"/>
  <c r="A20" i="6"/>
  <c r="I20" i="6" s="1"/>
  <c r="L20" i="6" s="1"/>
  <c r="H19" i="6"/>
  <c r="G19" i="6"/>
  <c r="J19" i="6" s="1"/>
  <c r="F19" i="6"/>
  <c r="E19" i="6"/>
  <c r="D19" i="6"/>
  <c r="C19" i="6"/>
  <c r="K19" i="6" s="1"/>
  <c r="B19" i="6"/>
  <c r="A19" i="6"/>
  <c r="I19" i="6" s="1"/>
  <c r="L19" i="6" s="1"/>
  <c r="H18" i="6"/>
  <c r="G18" i="6"/>
  <c r="J18" i="6" s="1"/>
  <c r="F18" i="6"/>
  <c r="E18" i="6"/>
  <c r="D18" i="6"/>
  <c r="C18" i="6"/>
  <c r="K18" i="6" s="1"/>
  <c r="B18" i="6"/>
  <c r="A18" i="6"/>
  <c r="I18" i="6" s="1"/>
  <c r="L18" i="6" s="1"/>
  <c r="H17" i="6"/>
  <c r="G17" i="6"/>
  <c r="J17" i="6" s="1"/>
  <c r="F17" i="6"/>
  <c r="E17" i="6"/>
  <c r="D17" i="6"/>
  <c r="C17" i="6"/>
  <c r="K17" i="6" s="1"/>
  <c r="B17" i="6"/>
  <c r="A17" i="6"/>
  <c r="I17" i="6" s="1"/>
  <c r="L17" i="6" s="1"/>
  <c r="H16" i="6"/>
  <c r="G16" i="6"/>
  <c r="J16" i="6" s="1"/>
  <c r="F16" i="6"/>
  <c r="E16" i="6"/>
  <c r="D16" i="6"/>
  <c r="C16" i="6"/>
  <c r="K16" i="6" s="1"/>
  <c r="B16" i="6"/>
  <c r="A16" i="6"/>
  <c r="I16" i="6" s="1"/>
  <c r="L16" i="6" s="1"/>
  <c r="H15" i="6"/>
  <c r="G15" i="6"/>
  <c r="J15" i="6" s="1"/>
  <c r="F15" i="6"/>
  <c r="E15" i="6"/>
  <c r="D15" i="6"/>
  <c r="C15" i="6"/>
  <c r="K15" i="6" s="1"/>
  <c r="B15" i="6"/>
  <c r="A15" i="6"/>
  <c r="I15" i="6" s="1"/>
  <c r="L15" i="6" s="1"/>
  <c r="H14" i="6"/>
  <c r="G14" i="6"/>
  <c r="J14" i="6" s="1"/>
  <c r="F14" i="6"/>
  <c r="E14" i="6"/>
  <c r="D14" i="6"/>
  <c r="C14" i="6"/>
  <c r="K14" i="6" s="1"/>
  <c r="B14" i="6"/>
  <c r="A14" i="6"/>
  <c r="I14" i="6" s="1"/>
  <c r="L14" i="6" s="1"/>
  <c r="H13" i="6"/>
  <c r="G13" i="6"/>
  <c r="J13" i="6" s="1"/>
  <c r="F13" i="6"/>
  <c r="E13" i="6"/>
  <c r="D13" i="6"/>
  <c r="C13" i="6"/>
  <c r="K13" i="6" s="1"/>
  <c r="B13" i="6"/>
  <c r="A13" i="6"/>
  <c r="I13" i="6" s="1"/>
  <c r="L13" i="6" s="1"/>
  <c r="H12" i="6"/>
  <c r="G12" i="6"/>
  <c r="J12" i="6" s="1"/>
  <c r="F12" i="6"/>
  <c r="E12" i="6"/>
  <c r="D12" i="6"/>
  <c r="C12" i="6"/>
  <c r="K12" i="6" s="1"/>
  <c r="B12" i="6"/>
  <c r="A12" i="6"/>
  <c r="I12" i="6" s="1"/>
  <c r="L12" i="6" s="1"/>
  <c r="H11" i="6"/>
  <c r="G11" i="6"/>
  <c r="J11" i="6" s="1"/>
  <c r="F11" i="6"/>
  <c r="E11" i="6"/>
  <c r="D11" i="6"/>
  <c r="C11" i="6"/>
  <c r="K11" i="6" s="1"/>
  <c r="B11" i="6"/>
  <c r="A11" i="6"/>
  <c r="I11" i="6" s="1"/>
  <c r="L11" i="6" s="1"/>
  <c r="H10" i="6"/>
  <c r="G10" i="6"/>
  <c r="J10" i="6" s="1"/>
  <c r="F10" i="6"/>
  <c r="E10" i="6"/>
  <c r="D10" i="6"/>
  <c r="C10" i="6"/>
  <c r="K10" i="6" s="1"/>
  <c r="B10" i="6"/>
  <c r="A10" i="6"/>
  <c r="I10" i="6" s="1"/>
  <c r="L10" i="6" s="1"/>
  <c r="H9" i="6"/>
  <c r="G9" i="6"/>
  <c r="J9" i="6" s="1"/>
  <c r="F9" i="6"/>
  <c r="E9" i="6"/>
  <c r="D9" i="6"/>
  <c r="C9" i="6"/>
  <c r="K9" i="6" s="1"/>
  <c r="B9" i="6"/>
  <c r="A9" i="6"/>
  <c r="I9" i="6" s="1"/>
  <c r="L9" i="6" s="1"/>
  <c r="H8" i="6"/>
  <c r="G8" i="6"/>
  <c r="J8" i="6" s="1"/>
  <c r="F8" i="6"/>
  <c r="E8" i="6"/>
  <c r="D8" i="6"/>
  <c r="C8" i="6"/>
  <c r="K8" i="6" s="1"/>
  <c r="B8" i="6"/>
  <c r="A8" i="6"/>
  <c r="I8" i="6" s="1"/>
  <c r="L8" i="6" s="1"/>
  <c r="H7" i="6"/>
  <c r="G7" i="6"/>
  <c r="J7" i="6" s="1"/>
  <c r="F7" i="6"/>
  <c r="E7" i="6"/>
  <c r="D7" i="6"/>
  <c r="C7" i="6"/>
  <c r="K7" i="6" s="1"/>
  <c r="B7" i="6"/>
  <c r="A7" i="6"/>
  <c r="I7" i="6" s="1"/>
  <c r="L7" i="6" s="1"/>
  <c r="H6" i="6"/>
  <c r="G6" i="6"/>
  <c r="J6" i="6" s="1"/>
  <c r="F6" i="6"/>
  <c r="E6" i="6"/>
  <c r="D6" i="6"/>
  <c r="C6" i="6"/>
  <c r="K6" i="6" s="1"/>
  <c r="B6" i="6"/>
  <c r="A6" i="6"/>
  <c r="I6" i="6" s="1"/>
  <c r="L6" i="6" s="1"/>
  <c r="H5" i="6"/>
  <c r="G5" i="6"/>
  <c r="J5" i="6" s="1"/>
  <c r="F5" i="6"/>
  <c r="E5" i="6"/>
  <c r="D5" i="6"/>
  <c r="C5" i="6"/>
  <c r="K5" i="6" s="1"/>
  <c r="B5" i="6"/>
  <c r="A5" i="6"/>
  <c r="I5" i="6" s="1"/>
  <c r="L5" i="6" s="1"/>
  <c r="H4" i="6"/>
  <c r="G4" i="6"/>
  <c r="J4" i="6" s="1"/>
  <c r="F4" i="6"/>
  <c r="E4" i="6"/>
  <c r="D4" i="6"/>
  <c r="C4" i="6"/>
  <c r="K4" i="6" s="1"/>
  <c r="B4" i="6"/>
  <c r="A4" i="6"/>
  <c r="I4" i="6" s="1"/>
  <c r="L4" i="6" s="1"/>
  <c r="H3" i="6"/>
  <c r="G3" i="6"/>
  <c r="J3" i="6" s="1"/>
  <c r="F3" i="6"/>
  <c r="E3" i="6"/>
  <c r="D3" i="6"/>
  <c r="C3" i="6"/>
  <c r="K3" i="6" s="1"/>
  <c r="B3" i="6"/>
  <c r="A3" i="6"/>
  <c r="I3" i="6" s="1"/>
  <c r="L3" i="6" s="1"/>
  <c r="H2" i="6"/>
  <c r="G2" i="6"/>
  <c r="J2" i="6" s="1"/>
  <c r="F2" i="6"/>
  <c r="E2" i="6" l="1"/>
  <c r="D2" i="6"/>
  <c r="C2" i="6"/>
  <c r="K2" i="6" s="1"/>
  <c r="B2" i="6"/>
  <c r="A2" i="6"/>
  <c r="I2" i="6" s="1"/>
  <c r="L2" i="6" s="1"/>
  <c r="D4" i="4" l="1"/>
  <c r="C4" i="4"/>
  <c r="B4" i="4"/>
  <c r="D3" i="4"/>
  <c r="C3" i="4"/>
  <c r="B3" i="4"/>
  <c r="A4" i="4"/>
  <c r="A3" i="4"/>
  <c r="D2" i="4" l="1"/>
  <c r="C2" i="4" l="1"/>
  <c r="B2" i="4"/>
  <c r="A2" i="4"/>
  <c r="D51" i="3" l="1"/>
  <c r="C51" i="3"/>
  <c r="B51" i="3"/>
  <c r="A51" i="3"/>
  <c r="D50" i="3"/>
  <c r="C50" i="3"/>
  <c r="B50" i="3"/>
  <c r="A50" i="3"/>
  <c r="D49" i="3"/>
  <c r="C49" i="3"/>
  <c r="B49" i="3"/>
  <c r="A49" i="3"/>
  <c r="D48" i="3"/>
  <c r="C48" i="3"/>
  <c r="B48" i="3"/>
  <c r="A48" i="3"/>
  <c r="D47" i="3"/>
  <c r="C47" i="3"/>
  <c r="B47" i="3"/>
  <c r="A47" i="3"/>
  <c r="D46" i="3"/>
  <c r="C46" i="3"/>
  <c r="B46" i="3"/>
  <c r="A46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A42" i="3"/>
  <c r="D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D37" i="3"/>
  <c r="C37" i="3"/>
  <c r="B37" i="3"/>
  <c r="A37" i="3"/>
  <c r="D36" i="3"/>
  <c r="C36" i="3"/>
  <c r="B36" i="3"/>
  <c r="A36" i="3"/>
  <c r="D35" i="3"/>
  <c r="C35" i="3"/>
  <c r="B35" i="3"/>
  <c r="A35" i="3"/>
  <c r="D34" i="3"/>
  <c r="C34" i="3"/>
  <c r="B34" i="3"/>
  <c r="A34" i="3"/>
  <c r="D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A10" i="3"/>
  <c r="D9" i="3"/>
  <c r="C9" i="3"/>
  <c r="B9" i="3"/>
  <c r="A9" i="3"/>
  <c r="D8" i="3"/>
  <c r="C8" i="3"/>
  <c r="B8" i="3"/>
  <c r="A8" i="3"/>
  <c r="D7" i="3"/>
  <c r="C7" i="3"/>
  <c r="B7" i="3"/>
  <c r="A7" i="3"/>
  <c r="D6" i="3"/>
  <c r="C6" i="3"/>
  <c r="B6" i="3"/>
  <c r="A6" i="3"/>
  <c r="D5" i="3"/>
  <c r="C5" i="3"/>
  <c r="B5" i="3"/>
  <c r="A5" i="3"/>
  <c r="D4" i="3"/>
  <c r="C4" i="3"/>
  <c r="B4" i="3"/>
  <c r="A4" i="3"/>
  <c r="D3" i="3"/>
  <c r="C3" i="3"/>
  <c r="B3" i="3"/>
  <c r="A3" i="3"/>
  <c r="D2" i="3"/>
  <c r="C2" i="3"/>
  <c r="B2" i="3"/>
  <c r="A2" i="3"/>
  <c r="C45" i="2" l="1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</calcChain>
</file>

<file path=xl/sharedStrings.xml><?xml version="1.0" encoding="utf-8"?>
<sst xmlns="http://schemas.openxmlformats.org/spreadsheetml/2006/main" count="663" uniqueCount="308">
  <si>
    <t>Subcategory</t>
  </si>
  <si>
    <t>Supplier</t>
  </si>
  <si>
    <t>Specification</t>
  </si>
  <si>
    <t>Unit</t>
  </si>
  <si>
    <t>Status</t>
  </si>
  <si>
    <t>Product Type</t>
  </si>
  <si>
    <t>Country of Origin</t>
  </si>
  <si>
    <t>BIO-PKS-001</t>
  </si>
  <si>
    <t>BIO-PKS-002</t>
  </si>
  <si>
    <t>BIO-WOD-001</t>
  </si>
  <si>
    <t>BIO-WOD-002</t>
  </si>
  <si>
    <t>BIO-SAW-001</t>
  </si>
  <si>
    <t>BIO-BRI-001</t>
  </si>
  <si>
    <t>OIL-SUN-001</t>
  </si>
  <si>
    <t>OIL-SUN-002</t>
  </si>
  <si>
    <t>OIL-SOY-001</t>
  </si>
  <si>
    <t>OIL-PAL-001</t>
  </si>
  <si>
    <t>OIL-SHE-001</t>
  </si>
  <si>
    <t>OIL-SHE-002</t>
  </si>
  <si>
    <t>OIL-COC-001</t>
  </si>
  <si>
    <t>SUG-ICU-001</t>
  </si>
  <si>
    <t>SUG-ICU-002</t>
  </si>
  <si>
    <t>SUG-ICU-003</t>
  </si>
  <si>
    <t>SUG-RAW-001</t>
  </si>
  <si>
    <t>RIC-WHI-001</t>
  </si>
  <si>
    <t>RIC-WHI-002</t>
  </si>
  <si>
    <t>RIC-BAS-001</t>
  </si>
  <si>
    <t>AGR-CAS-001</t>
  </si>
  <si>
    <t>AGR-CAS-002</t>
  </si>
  <si>
    <t>AGR-SES-001</t>
  </si>
  <si>
    <t>AGR-SES-002</t>
  </si>
  <si>
    <t>AGR-COC-001</t>
  </si>
  <si>
    <t>AGR-COC-002</t>
  </si>
  <si>
    <t>AGR-COA-001</t>
  </si>
  <si>
    <t>AGR-COA-002</t>
  </si>
  <si>
    <t>AGR-GIN-001</t>
  </si>
  <si>
    <t>AGR-GIN-002</t>
  </si>
  <si>
    <t>MIN-GOL-001</t>
  </si>
  <si>
    <t>MIN-GOL-002</t>
  </si>
  <si>
    <t>MIN-ALU-001</t>
  </si>
  <si>
    <t>MIN-COP-001</t>
  </si>
  <si>
    <t>PAC-BAG-001</t>
  </si>
  <si>
    <t>PAC-BAG-002</t>
  </si>
  <si>
    <t>PAC-JUM-001</t>
  </si>
  <si>
    <t>PAC-JUM-002</t>
  </si>
  <si>
    <t>CHE-CAU-001</t>
  </si>
  <si>
    <t>CHE-SOD-001</t>
  </si>
  <si>
    <t>CHE-SOD-002</t>
  </si>
  <si>
    <t>PUL-WOD-001</t>
  </si>
  <si>
    <t>PUL-WOD-002</t>
  </si>
  <si>
    <t>TEX-COT-001</t>
  </si>
  <si>
    <t>TEX-COT-002</t>
  </si>
  <si>
    <t>GRA-MAI-001</t>
  </si>
  <si>
    <t>GRA-MAI-002</t>
  </si>
  <si>
    <t>GRA-WHE-001</t>
  </si>
  <si>
    <t>GRA-WHE-002</t>
  </si>
  <si>
    <t>LEG-SOY-001</t>
  </si>
  <si>
    <t>Palm Kernel Shells – Standard</t>
  </si>
  <si>
    <t>Palm Kernel Shells – Premium</t>
  </si>
  <si>
    <t>Industrial Wood Pellets</t>
  </si>
  <si>
    <t>Premium Wood Pellets</t>
  </si>
  <si>
    <t>Dry Sawdust</t>
  </si>
  <si>
    <t>Biomass Briquettes</t>
  </si>
  <si>
    <t>Crude Sunflower Oil</t>
  </si>
  <si>
    <t>Refined Sunflower Oil</t>
  </si>
  <si>
    <t>Crude Soybean Oil</t>
  </si>
  <si>
    <t>Crude Palm Oil</t>
  </si>
  <si>
    <t>Natural Shea Butter</t>
  </si>
  <si>
    <t>Refined Shea Butter</t>
  </si>
  <si>
    <t>Crude Coconut Oil</t>
  </si>
  <si>
    <t>ICUMSA 45 Sugar</t>
  </si>
  <si>
    <t>Refined White Sugar IC45</t>
  </si>
  <si>
    <t>ICUMSA 100 Sugar</t>
  </si>
  <si>
    <t>Raw Cane Sugar</t>
  </si>
  <si>
    <t>Long Grain White Rice</t>
  </si>
  <si>
    <t>Parboiled Long Grain Rice</t>
  </si>
  <si>
    <t>Basmati Rice</t>
  </si>
  <si>
    <t>Raw Cashew Nuts</t>
  </si>
  <si>
    <t>Natural Sesame Seeds</t>
  </si>
  <si>
    <t>Hulled Sesame Seeds</t>
  </si>
  <si>
    <t>Dried Coconut Chips</t>
  </si>
  <si>
    <t>Desiccated Coconut</t>
  </si>
  <si>
    <t>Cocoa Beans</t>
  </si>
  <si>
    <t>Dried Ginger</t>
  </si>
  <si>
    <t>Ginger Powder</t>
  </si>
  <si>
    <t>Gold Bars</t>
  </si>
  <si>
    <t>Gold Nuggets</t>
  </si>
  <si>
    <t>Aluminium Ingots</t>
  </si>
  <si>
    <t>Copper Cathodes</t>
  </si>
  <si>
    <t>PP Woven Bags</t>
  </si>
  <si>
    <t>FIBC Jumbo Bag</t>
  </si>
  <si>
    <t>FIBC Big Bag</t>
  </si>
  <si>
    <t>Caustic Soda Flakes</t>
  </si>
  <si>
    <t>Sodium Carbonate Light</t>
  </si>
  <si>
    <t>Soda Ash Dense</t>
  </si>
  <si>
    <t>Bleached Kraft Pulp</t>
  </si>
  <si>
    <t>Hardwood Kraft Pulp</t>
  </si>
  <si>
    <t>Raw Cotton Bales</t>
  </si>
  <si>
    <t>Cotton Lint</t>
  </si>
  <si>
    <t>Maize</t>
  </si>
  <si>
    <t>Yellow Corn</t>
  </si>
  <si>
    <t>Wheat</t>
  </si>
  <si>
    <t>Wheat Flour</t>
  </si>
  <si>
    <t>Soybeans</t>
  </si>
  <si>
    <t>Biomass</t>
  </si>
  <si>
    <t>Oils &amp; Fats</t>
  </si>
  <si>
    <t>Food Commodities</t>
  </si>
  <si>
    <t>Agricultural Products</t>
  </si>
  <si>
    <t>Minerals &amp; Metals</t>
  </si>
  <si>
    <t>Packaging</t>
  </si>
  <si>
    <t>Industrial Materials</t>
  </si>
  <si>
    <t>Paper &amp; Pulp</t>
  </si>
  <si>
    <t>Textiles</t>
  </si>
  <si>
    <t>Palm Kernel Shells</t>
  </si>
  <si>
    <t>Wood Pellets</t>
  </si>
  <si>
    <t>Sawdust</t>
  </si>
  <si>
    <t>Briquettes</t>
  </si>
  <si>
    <t>Sunflower Oil</t>
  </si>
  <si>
    <t>Soybean Oil</t>
  </si>
  <si>
    <t>Palm Oil</t>
  </si>
  <si>
    <t>Shea Products</t>
  </si>
  <si>
    <t>Coconut Oil</t>
  </si>
  <si>
    <t>Sugar</t>
  </si>
  <si>
    <t>Rice</t>
  </si>
  <si>
    <t>Cashew</t>
  </si>
  <si>
    <t>Sesame</t>
  </si>
  <si>
    <t>Coconut</t>
  </si>
  <si>
    <t>Cocoa</t>
  </si>
  <si>
    <t>Spices</t>
  </si>
  <si>
    <t>Gold</t>
  </si>
  <si>
    <t>Aluminium</t>
  </si>
  <si>
    <t>Copper</t>
  </si>
  <si>
    <t>Bags</t>
  </si>
  <si>
    <t>Jumbo Bags</t>
  </si>
  <si>
    <t>Caustic Soda</t>
  </si>
  <si>
    <t>Sodium Products</t>
  </si>
  <si>
    <t>Wood Pulp</t>
  </si>
  <si>
    <t>Cotton</t>
  </si>
  <si>
    <t>Grains</t>
  </si>
  <si>
    <t>Legumes</t>
  </si>
  <si>
    <t>Standard Grade</t>
  </si>
  <si>
    <t>Supplier A</t>
  </si>
  <si>
    <t>Moisture ≤15%; Ash ≤5%</t>
  </si>
  <si>
    <t>MT</t>
  </si>
  <si>
    <t>Nigeria</t>
  </si>
  <si>
    <t>Active</t>
  </si>
  <si>
    <t>Premium Grade</t>
  </si>
  <si>
    <t>Supplier B</t>
  </si>
  <si>
    <t>Moisture ≤12%; Ash ≤4%</t>
  </si>
  <si>
    <t>Industrial Grade</t>
  </si>
  <si>
    <t>Supplier C</t>
  </si>
  <si>
    <t>6mm; Moisture ≤10%</t>
  </si>
  <si>
    <t>Ukraine</t>
  </si>
  <si>
    <t>Supplier D</t>
  </si>
  <si>
    <t>8mm; Moisture ≤8%</t>
  </si>
  <si>
    <t>Latvia</t>
  </si>
  <si>
    <t>Dry Grade</t>
  </si>
  <si>
    <t>Moisture ≤12%</t>
  </si>
  <si>
    <t>Biomass Briquette</t>
  </si>
  <si>
    <t>Supplier E</t>
  </si>
  <si>
    <t>70mm; Moisture ≤10%</t>
  </si>
  <si>
    <t>Crude Oil</t>
  </si>
  <si>
    <t>Supplier F</t>
  </si>
  <si>
    <t>FFA ≤2%; Moisture ≤0.2%</t>
  </si>
  <si>
    <t>Refined Oil</t>
  </si>
  <si>
    <t>Supplier G</t>
  </si>
  <si>
    <t>Food Grade; RBD</t>
  </si>
  <si>
    <t>Turkey</t>
  </si>
  <si>
    <t>Supplier H</t>
  </si>
  <si>
    <t>FFA ≤1.5%</t>
  </si>
  <si>
    <t>Brazil</t>
  </si>
  <si>
    <t>Supplier I</t>
  </si>
  <si>
    <t>FFA ≤5%</t>
  </si>
  <si>
    <t>Malaysia</t>
  </si>
  <si>
    <t>Unrefined Shea Butter</t>
  </si>
  <si>
    <t>Supplier J</t>
  </si>
  <si>
    <t>Unrefined; Cosmetic Grade</t>
  </si>
  <si>
    <t>Refined; Cosmetic Grade</t>
  </si>
  <si>
    <t>Virgin Oil</t>
  </si>
  <si>
    <t>Virgin; Unrefined</t>
  </si>
  <si>
    <t>Philippines</t>
  </si>
  <si>
    <t>Refined White Sugar</t>
  </si>
  <si>
    <t>White Refined; 50kg Bags</t>
  </si>
  <si>
    <t>Duplicate Review</t>
  </si>
  <si>
    <t>Thailand</t>
  </si>
  <si>
    <t>Raw Sugar</t>
  </si>
  <si>
    <t>ICUMSA 600–1200</t>
  </si>
  <si>
    <t>Long Grain</t>
  </si>
  <si>
    <t>5% Broken; 25kg Bags</t>
  </si>
  <si>
    <t>Parboiled Long Grain</t>
  </si>
  <si>
    <t>Basmati</t>
  </si>
  <si>
    <t>1121; 5% Broken</t>
  </si>
  <si>
    <t>India</t>
  </si>
  <si>
    <t>Outturn 48 lbs; KOR 52%</t>
  </si>
  <si>
    <t>Outturn 50 lbs; KOR 52%</t>
  </si>
  <si>
    <t>Côte d’Ivoire</t>
  </si>
  <si>
    <t>Natural Sesame</t>
  </si>
  <si>
    <t>99.95% Purity</t>
  </si>
  <si>
    <t>Hulled Sesame</t>
  </si>
  <si>
    <t>99.95% Purity; Hulled</t>
  </si>
  <si>
    <t>Dried Coconut</t>
  </si>
  <si>
    <t>Moisture ≤5%</t>
  </si>
  <si>
    <t>Fine Grade; Moisture ≤3%</t>
  </si>
  <si>
    <t>Fermented Cocoa Beans</t>
  </si>
  <si>
    <t>Grade 1; Fermented</t>
  </si>
  <si>
    <t>Grade 2; Fermented</t>
  </si>
  <si>
    <t>Ghana</t>
  </si>
  <si>
    <t>Whole Dried Ginger</t>
  </si>
  <si>
    <t>Cleaned; Moisture ≤10%</t>
  </si>
  <si>
    <t>Fine Powder; Food Grade</t>
  </si>
  <si>
    <t>Gold Bar</t>
  </si>
  <si>
    <t>99.99% Purity</t>
  </si>
  <si>
    <t>kg</t>
  </si>
  <si>
    <t>Gold Nugget</t>
  </si>
  <si>
    <t>97%+ Purity</t>
  </si>
  <si>
    <t>Review</t>
  </si>
  <si>
    <t>Aluminium Ingot</t>
  </si>
  <si>
    <t>Primary; 99.7%</t>
  </si>
  <si>
    <t>UAE</t>
  </si>
  <si>
    <t>Copper Cathode</t>
  </si>
  <si>
    <t>Grade A; 99.99%</t>
  </si>
  <si>
    <t>DR Congo</t>
  </si>
  <si>
    <t>Woven PP Bag</t>
  </si>
  <si>
    <t>50kg; Plain White</t>
  </si>
  <si>
    <t>PCS</t>
  </si>
  <si>
    <t>Printed Woven PP Bag</t>
  </si>
  <si>
    <t>50kg; Printed</t>
  </si>
  <si>
    <t>1 MT SWL</t>
  </si>
  <si>
    <t>China</t>
  </si>
  <si>
    <t>99% Purity; 25kg Bags</t>
  </si>
  <si>
    <t>Soda Ash Light</t>
  </si>
  <si>
    <t>99.2% Purity</t>
  </si>
  <si>
    <t>Bale; Brightness 90%+</t>
  </si>
  <si>
    <t>Bale; Hardwood</t>
  </si>
  <si>
    <t>Raw Cotton</t>
  </si>
  <si>
    <t>Middling; 1-1/8 inch</t>
  </si>
  <si>
    <t>Middling Grade</t>
  </si>
  <si>
    <t>Benin</t>
  </si>
  <si>
    <t>Yellow Maize</t>
  </si>
  <si>
    <t>Yellow; Feed Grade</t>
  </si>
  <si>
    <t>Milling Wheat</t>
  </si>
  <si>
    <t>Milling Grade</t>
  </si>
  <si>
    <t>Canada</t>
  </si>
  <si>
    <t>Food Grade; 50kg Bags</t>
  </si>
  <si>
    <t>Non-GMO; Feed Grade</t>
  </si>
  <si>
    <t>PRODUCT CATALOGUE</t>
  </si>
  <si>
    <t>Supplier Product Name</t>
  </si>
  <si>
    <t>Mapped SKU</t>
  </si>
  <si>
    <t>Mapped Category</t>
  </si>
  <si>
    <t>Price</t>
  </si>
  <si>
    <t>Currency</t>
  </si>
  <si>
    <t>USD</t>
  </si>
  <si>
    <t>EUR</t>
  </si>
  <si>
    <t>Product 1 SKU</t>
  </si>
  <si>
    <t>Product 1 Name</t>
  </si>
  <si>
    <t>Product 2 SKU</t>
  </si>
  <si>
    <t>Product 2 Name</t>
  </si>
  <si>
    <t>Duplicate Reason</t>
  </si>
  <si>
    <t>Review Status</t>
  </si>
  <si>
    <t>Same product specification and packaging different supplier/product name</t>
  </si>
  <si>
    <t>Pending Review</t>
  </si>
  <si>
    <t>Same FIBC type and 1 MT SWL specification; different product name</t>
  </si>
  <si>
    <t>Same yellow maize/feed-grade specification; different product name</t>
  </si>
  <si>
    <t>Data Quality Rule</t>
  </si>
  <si>
    <t>Requirement</t>
  </si>
  <si>
    <t>Validation Method</t>
  </si>
  <si>
    <t>Must match the master Product Catalogue SKU</t>
  </si>
  <si>
    <t>Clear and standardized product name</t>
  </si>
  <si>
    <t>Must match the approved taxonomy</t>
  </si>
  <si>
    <t>Must belong to the selected category</t>
  </si>
  <si>
    <t>Must match the approved product clasification</t>
  </si>
  <si>
    <t>Must be linked to an approved supplier</t>
  </si>
  <si>
    <t>Required technical details must be complete</t>
  </si>
  <si>
    <t>Must use standardized units such MT, kg or PCS</t>
  </si>
  <si>
    <t>Must be numeric and greater than zero</t>
  </si>
  <si>
    <t>Must use an approved currency code</t>
  </si>
  <si>
    <t>Must be completed and valid</t>
  </si>
  <si>
    <t>Must use approved status values</t>
  </si>
  <si>
    <t>Lookup validation</t>
  </si>
  <si>
    <t>Text review</t>
  </si>
  <si>
    <t>Taxonomy lookup</t>
  </si>
  <si>
    <t>Taxonomy validation</t>
  </si>
  <si>
    <t>Supplier validation</t>
  </si>
  <si>
    <t>Completeness Check</t>
  </si>
  <si>
    <t>Dropdown validation</t>
  </si>
  <si>
    <t>Numeric validation</t>
  </si>
  <si>
    <t>Data completeness Check</t>
  </si>
  <si>
    <t xml:space="preserve"> </t>
  </si>
  <si>
    <t>Data Completeness</t>
  </si>
  <si>
    <t>Specification Check</t>
  </si>
  <si>
    <t>Taxonomy Check</t>
  </si>
  <si>
    <t>Overall Quality Status</t>
  </si>
  <si>
    <t>PIM Data Quality Summary</t>
  </si>
  <si>
    <t>Total Products</t>
  </si>
  <si>
    <t>Complete Records</t>
  </si>
  <si>
    <t>Specification Pass</t>
  </si>
  <si>
    <t>Taxonomy Pass</t>
  </si>
  <si>
    <t>Approved Records</t>
  </si>
  <si>
    <t>Review Required</t>
  </si>
  <si>
    <t>Product Data Owner Portfolio</t>
  </si>
  <si>
    <t>Objective</t>
  </si>
  <si>
    <t>Demonstrate a structured product data management workflow</t>
  </si>
  <si>
    <t>Core Skills Demonstrated</t>
  </si>
  <si>
    <t>Product Catalogue, Taxonomy, Supplier Mapping, Duplicate Review, Data Quality, PIM Data Management</t>
  </si>
  <si>
    <t>Tools &amp; Techniques</t>
  </si>
  <si>
    <t>Microsoft Excel, formulas, data validation, conditional formatting, lookup and reference formulas</t>
  </si>
  <si>
    <t>PIM Concepts</t>
  </si>
  <si>
    <t>Product Information Management, SKU mapping, taxonomy, supplier data, data quality and duplicate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</si>
</sst>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11"/>
      <color theme="1" tint="0.499984740745262"/>
      <name val="Calibri"/>
      <family val="2"/>
    </font>
    <font>
      <b/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222222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222222"/>
      <name val="Calibri"/>
      <family val="2"/>
    </font>
    <font>
      <b/>
      <sz val="12"/>
      <color rgb="FF222222"/>
      <name val="Calibri"/>
      <family val="2"/>
    </font>
    <font>
      <b/>
      <sz val="16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8" fillId="0" borderId="0" xfId="0" applyFont="1" applyBorder="1"/>
    <xf numFmtId="0" fontId="0" fillId="0" borderId="1" xfId="0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7">
    <dxf>
      <font>
        <color theme="6" tint="-0.24994659260841701"/>
      </font>
    </dxf>
    <dxf>
      <font>
        <color rgb="FF002060"/>
      </font>
    </dxf>
    <dxf>
      <font>
        <color rgb="FF0070C0"/>
      </font>
    </dxf>
    <dxf>
      <font>
        <color theme="6" tint="-0.24994659260841701"/>
      </font>
    </dxf>
    <dxf>
      <font>
        <color rgb="FFFFFF00"/>
      </font>
    </dxf>
    <dxf>
      <font>
        <color theme="9" tint="-0.24994659260841701"/>
      </font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view="pageBreakPreview" zoomScale="80" zoomScaleNormal="100" zoomScaleSheetLayoutView="80" zoomScalePageLayoutView="120" workbookViewId="0">
      <pane ySplit="1" topLeftCell="A2" activePane="bottomLeft" state="frozen"/>
      <selection pane="bottomLeft" activeCell="A2" sqref="A2"/>
    </sheetView>
  </sheetViews>
  <sheetFormatPr defaultColWidth="16.85546875" defaultRowHeight="21.6" customHeight="1" x14ac:dyDescent="0.25"/>
  <cols>
    <col min="1" max="1" width="16.7109375" customWidth="1"/>
    <col min="2" max="2" width="28.7109375" customWidth="1"/>
    <col min="3" max="4" width="22.7109375" customWidth="1"/>
    <col min="5" max="5" width="24.7109375" customWidth="1"/>
    <col min="6" max="6" width="14.7109375" customWidth="1"/>
    <col min="7" max="7" width="32.7109375" customWidth="1"/>
    <col min="8" max="10" width="10.7109375" customWidth="1"/>
    <col min="11" max="11" width="20.7109375" customWidth="1"/>
    <col min="12" max="12" width="18.7109375" customWidth="1"/>
  </cols>
  <sheetData>
    <row r="1" spans="1:12" ht="30" customHeight="1" x14ac:dyDescent="0.25">
      <c r="A1" s="24" t="s">
        <v>245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4.95" customHeight="1" x14ac:dyDescent="0.25">
      <c r="A2" s="14" t="s">
        <v>247</v>
      </c>
      <c r="B2" s="14" t="s">
        <v>246</v>
      </c>
      <c r="C2" s="14" t="s">
        <v>248</v>
      </c>
      <c r="D2" s="14" t="s">
        <v>0</v>
      </c>
      <c r="E2" s="14" t="s">
        <v>5</v>
      </c>
      <c r="F2" s="14" t="s">
        <v>1</v>
      </c>
      <c r="G2" s="14" t="s">
        <v>2</v>
      </c>
      <c r="H2" s="14" t="s">
        <v>3</v>
      </c>
      <c r="I2" s="14" t="s">
        <v>249</v>
      </c>
      <c r="J2" s="14" t="s">
        <v>250</v>
      </c>
      <c r="K2" s="14" t="s">
        <v>6</v>
      </c>
      <c r="L2" s="14" t="s">
        <v>4</v>
      </c>
    </row>
    <row r="3" spans="1:12" ht="20.100000000000001" customHeight="1" x14ac:dyDescent="0.25">
      <c r="A3" s="10" t="s">
        <v>7</v>
      </c>
      <c r="B3" s="11" t="s">
        <v>57</v>
      </c>
      <c r="C3" s="12" t="s">
        <v>104</v>
      </c>
      <c r="D3" s="12" t="s">
        <v>113</v>
      </c>
      <c r="E3" s="12" t="s">
        <v>140</v>
      </c>
      <c r="F3" s="12" t="s">
        <v>141</v>
      </c>
      <c r="G3" s="11" t="s">
        <v>142</v>
      </c>
      <c r="H3" s="10" t="s">
        <v>143</v>
      </c>
      <c r="I3" s="13">
        <v>85</v>
      </c>
      <c r="J3" s="11" t="s">
        <v>251</v>
      </c>
      <c r="K3" s="12" t="s">
        <v>144</v>
      </c>
      <c r="L3" s="10" t="s">
        <v>145</v>
      </c>
    </row>
    <row r="4" spans="1:12" ht="20.100000000000001" customHeight="1" x14ac:dyDescent="0.25">
      <c r="A4" s="2" t="s">
        <v>8</v>
      </c>
      <c r="B4" s="3" t="s">
        <v>58</v>
      </c>
      <c r="C4" s="1" t="s">
        <v>104</v>
      </c>
      <c r="D4" s="1" t="s">
        <v>113</v>
      </c>
      <c r="E4" s="1" t="s">
        <v>146</v>
      </c>
      <c r="F4" s="1" t="s">
        <v>147</v>
      </c>
      <c r="G4" s="3" t="s">
        <v>148</v>
      </c>
      <c r="H4" s="2" t="s">
        <v>143</v>
      </c>
      <c r="I4" s="8">
        <v>105</v>
      </c>
      <c r="J4" s="3" t="s">
        <v>251</v>
      </c>
      <c r="K4" s="1" t="s">
        <v>144</v>
      </c>
      <c r="L4" s="2" t="s">
        <v>145</v>
      </c>
    </row>
    <row r="5" spans="1:12" ht="20.100000000000001" customHeight="1" x14ac:dyDescent="0.25">
      <c r="A5" s="2" t="s">
        <v>9</v>
      </c>
      <c r="B5" s="3" t="s">
        <v>59</v>
      </c>
      <c r="C5" s="1" t="s">
        <v>104</v>
      </c>
      <c r="D5" s="1" t="s">
        <v>114</v>
      </c>
      <c r="E5" s="1" t="s">
        <v>149</v>
      </c>
      <c r="F5" s="1" t="s">
        <v>150</v>
      </c>
      <c r="G5" s="3" t="s">
        <v>151</v>
      </c>
      <c r="H5" s="2" t="s">
        <v>143</v>
      </c>
      <c r="I5" s="8">
        <v>145</v>
      </c>
      <c r="J5" s="3" t="s">
        <v>252</v>
      </c>
      <c r="K5" s="1" t="s">
        <v>152</v>
      </c>
      <c r="L5" s="2" t="s">
        <v>145</v>
      </c>
    </row>
    <row r="6" spans="1:12" ht="20.100000000000001" customHeight="1" x14ac:dyDescent="0.25">
      <c r="A6" s="2" t="s">
        <v>10</v>
      </c>
      <c r="B6" s="3" t="s">
        <v>60</v>
      </c>
      <c r="C6" s="1" t="s">
        <v>104</v>
      </c>
      <c r="D6" s="1" t="s">
        <v>114</v>
      </c>
      <c r="E6" s="1" t="s">
        <v>146</v>
      </c>
      <c r="F6" s="1" t="s">
        <v>153</v>
      </c>
      <c r="G6" s="3" t="s">
        <v>154</v>
      </c>
      <c r="H6" s="2" t="s">
        <v>143</v>
      </c>
      <c r="I6" s="8">
        <v>175</v>
      </c>
      <c r="J6" s="3" t="s">
        <v>252</v>
      </c>
      <c r="K6" s="1" t="s">
        <v>155</v>
      </c>
      <c r="L6" s="2" t="s">
        <v>145</v>
      </c>
    </row>
    <row r="7" spans="1:12" ht="20.100000000000001" customHeight="1" x14ac:dyDescent="0.25">
      <c r="A7" s="2" t="s">
        <v>11</v>
      </c>
      <c r="B7" s="3" t="s">
        <v>61</v>
      </c>
      <c r="C7" s="1" t="s">
        <v>104</v>
      </c>
      <c r="D7" s="1" t="s">
        <v>115</v>
      </c>
      <c r="E7" s="1" t="s">
        <v>156</v>
      </c>
      <c r="F7" s="1" t="s">
        <v>141</v>
      </c>
      <c r="G7" s="3" t="s">
        <v>157</v>
      </c>
      <c r="H7" s="2" t="s">
        <v>143</v>
      </c>
      <c r="I7" s="8">
        <v>70</v>
      </c>
      <c r="J7" s="3" t="s">
        <v>251</v>
      </c>
      <c r="K7" s="1" t="s">
        <v>144</v>
      </c>
      <c r="L7" s="2" t="s">
        <v>145</v>
      </c>
    </row>
    <row r="8" spans="1:12" ht="20.100000000000001" customHeight="1" x14ac:dyDescent="0.25">
      <c r="A8" s="2" t="s">
        <v>12</v>
      </c>
      <c r="B8" s="3" t="s">
        <v>62</v>
      </c>
      <c r="C8" s="1" t="s">
        <v>104</v>
      </c>
      <c r="D8" s="1" t="s">
        <v>116</v>
      </c>
      <c r="E8" s="1" t="s">
        <v>158</v>
      </c>
      <c r="F8" s="1" t="s">
        <v>159</v>
      </c>
      <c r="G8" s="3" t="s">
        <v>160</v>
      </c>
      <c r="H8" s="2" t="s">
        <v>143</v>
      </c>
      <c r="I8" s="8">
        <v>120</v>
      </c>
      <c r="J8" s="3" t="s">
        <v>251</v>
      </c>
      <c r="K8" s="1" t="s">
        <v>144</v>
      </c>
      <c r="L8" s="2" t="s">
        <v>145</v>
      </c>
    </row>
    <row r="9" spans="1:12" ht="20.100000000000001" customHeight="1" x14ac:dyDescent="0.25">
      <c r="A9" s="2" t="s">
        <v>13</v>
      </c>
      <c r="B9" s="3" t="s">
        <v>63</v>
      </c>
      <c r="C9" s="1" t="s">
        <v>105</v>
      </c>
      <c r="D9" s="1" t="s">
        <v>117</v>
      </c>
      <c r="E9" s="1" t="s">
        <v>161</v>
      </c>
      <c r="F9" s="1" t="s">
        <v>162</v>
      </c>
      <c r="G9" s="3" t="s">
        <v>163</v>
      </c>
      <c r="H9" s="2" t="s">
        <v>143</v>
      </c>
      <c r="I9" s="8">
        <v>920</v>
      </c>
      <c r="J9" s="3" t="s">
        <v>251</v>
      </c>
      <c r="K9" s="1" t="s">
        <v>152</v>
      </c>
      <c r="L9" s="2" t="s">
        <v>145</v>
      </c>
    </row>
    <row r="10" spans="1:12" ht="20.100000000000001" customHeight="1" x14ac:dyDescent="0.25">
      <c r="A10" s="2" t="s">
        <v>14</v>
      </c>
      <c r="B10" s="3" t="s">
        <v>64</v>
      </c>
      <c r="C10" s="1" t="s">
        <v>105</v>
      </c>
      <c r="D10" s="1" t="s">
        <v>117</v>
      </c>
      <c r="E10" s="1" t="s">
        <v>164</v>
      </c>
      <c r="F10" s="1" t="s">
        <v>165</v>
      </c>
      <c r="G10" s="3" t="s">
        <v>166</v>
      </c>
      <c r="H10" s="2" t="s">
        <v>143</v>
      </c>
      <c r="I10" s="9">
        <v>1080</v>
      </c>
      <c r="J10" s="3" t="s">
        <v>251</v>
      </c>
      <c r="K10" s="1" t="s">
        <v>167</v>
      </c>
      <c r="L10" s="2" t="s">
        <v>145</v>
      </c>
    </row>
    <row r="11" spans="1:12" ht="20.100000000000001" customHeight="1" x14ac:dyDescent="0.25">
      <c r="A11" s="2" t="s">
        <v>15</v>
      </c>
      <c r="B11" s="3" t="s">
        <v>65</v>
      </c>
      <c r="C11" s="1" t="s">
        <v>105</v>
      </c>
      <c r="D11" s="1" t="s">
        <v>118</v>
      </c>
      <c r="E11" s="1" t="s">
        <v>161</v>
      </c>
      <c r="F11" s="1" t="s">
        <v>168</v>
      </c>
      <c r="G11" s="3" t="s">
        <v>169</v>
      </c>
      <c r="H11" s="2" t="s">
        <v>143</v>
      </c>
      <c r="I11" s="8">
        <v>950</v>
      </c>
      <c r="J11" s="3" t="s">
        <v>251</v>
      </c>
      <c r="K11" s="1" t="s">
        <v>170</v>
      </c>
      <c r="L11" s="2" t="s">
        <v>145</v>
      </c>
    </row>
    <row r="12" spans="1:12" ht="20.100000000000001" customHeight="1" x14ac:dyDescent="0.25">
      <c r="A12" s="2" t="s">
        <v>16</v>
      </c>
      <c r="B12" s="3" t="s">
        <v>66</v>
      </c>
      <c r="C12" s="1" t="s">
        <v>105</v>
      </c>
      <c r="D12" s="1" t="s">
        <v>119</v>
      </c>
      <c r="E12" s="1" t="s">
        <v>66</v>
      </c>
      <c r="F12" s="1" t="s">
        <v>171</v>
      </c>
      <c r="G12" s="3" t="s">
        <v>172</v>
      </c>
      <c r="H12" s="2" t="s">
        <v>143</v>
      </c>
      <c r="I12" s="8">
        <v>900</v>
      </c>
      <c r="J12" s="3" t="s">
        <v>251</v>
      </c>
      <c r="K12" s="1" t="s">
        <v>173</v>
      </c>
      <c r="L12" s="2" t="s">
        <v>145</v>
      </c>
    </row>
    <row r="13" spans="1:12" ht="20.100000000000001" customHeight="1" x14ac:dyDescent="0.25">
      <c r="A13" s="2" t="s">
        <v>17</v>
      </c>
      <c r="B13" s="3" t="s">
        <v>67</v>
      </c>
      <c r="C13" s="1" t="s">
        <v>105</v>
      </c>
      <c r="D13" s="1" t="s">
        <v>120</v>
      </c>
      <c r="E13" s="1" t="s">
        <v>174</v>
      </c>
      <c r="F13" s="1" t="s">
        <v>175</v>
      </c>
      <c r="G13" s="3" t="s">
        <v>176</v>
      </c>
      <c r="H13" s="2" t="s">
        <v>143</v>
      </c>
      <c r="I13" s="9">
        <v>1850</v>
      </c>
      <c r="J13" s="3" t="s">
        <v>251</v>
      </c>
      <c r="K13" s="1" t="s">
        <v>144</v>
      </c>
      <c r="L13" s="2" t="s">
        <v>145</v>
      </c>
    </row>
    <row r="14" spans="1:12" ht="20.100000000000001" customHeight="1" x14ac:dyDescent="0.25">
      <c r="A14" s="2" t="s">
        <v>18</v>
      </c>
      <c r="B14" s="3" t="s">
        <v>68</v>
      </c>
      <c r="C14" s="1" t="s">
        <v>105</v>
      </c>
      <c r="D14" s="1" t="s">
        <v>120</v>
      </c>
      <c r="E14" s="1" t="s">
        <v>68</v>
      </c>
      <c r="F14" s="1" t="s">
        <v>150</v>
      </c>
      <c r="G14" s="3" t="s">
        <v>177</v>
      </c>
      <c r="H14" s="2" t="s">
        <v>143</v>
      </c>
      <c r="I14" s="9">
        <v>2100</v>
      </c>
      <c r="J14" s="3" t="s">
        <v>251</v>
      </c>
      <c r="K14" s="1" t="s">
        <v>144</v>
      </c>
      <c r="L14" s="2" t="s">
        <v>145</v>
      </c>
    </row>
    <row r="15" spans="1:12" ht="20.100000000000001" customHeight="1" x14ac:dyDescent="0.25">
      <c r="A15" s="2" t="s">
        <v>19</v>
      </c>
      <c r="B15" s="3" t="s">
        <v>69</v>
      </c>
      <c r="C15" s="1" t="s">
        <v>105</v>
      </c>
      <c r="D15" s="1" t="s">
        <v>121</v>
      </c>
      <c r="E15" s="1" t="s">
        <v>178</v>
      </c>
      <c r="F15" s="1" t="s">
        <v>153</v>
      </c>
      <c r="G15" s="3" t="s">
        <v>179</v>
      </c>
      <c r="H15" s="2" t="s">
        <v>143</v>
      </c>
      <c r="I15" s="9">
        <v>1250</v>
      </c>
      <c r="J15" s="3" t="s">
        <v>251</v>
      </c>
      <c r="K15" s="1" t="s">
        <v>180</v>
      </c>
      <c r="L15" s="2" t="s">
        <v>145</v>
      </c>
    </row>
    <row r="16" spans="1:12" ht="20.100000000000001" customHeight="1" x14ac:dyDescent="0.25">
      <c r="A16" s="2" t="s">
        <v>20</v>
      </c>
      <c r="B16" s="3" t="s">
        <v>70</v>
      </c>
      <c r="C16" s="1" t="s">
        <v>106</v>
      </c>
      <c r="D16" s="1" t="s">
        <v>122</v>
      </c>
      <c r="E16" s="1" t="s">
        <v>181</v>
      </c>
      <c r="F16" s="1" t="s">
        <v>159</v>
      </c>
      <c r="G16" s="3" t="s">
        <v>182</v>
      </c>
      <c r="H16" s="2" t="s">
        <v>143</v>
      </c>
      <c r="I16" s="8">
        <v>540</v>
      </c>
      <c r="J16" s="3" t="s">
        <v>251</v>
      </c>
      <c r="K16" s="1" t="s">
        <v>170</v>
      </c>
      <c r="L16" s="2" t="s">
        <v>145</v>
      </c>
    </row>
    <row r="17" spans="1:12" ht="20.100000000000001" customHeight="1" x14ac:dyDescent="0.25">
      <c r="A17" s="2" t="s">
        <v>21</v>
      </c>
      <c r="B17" s="3" t="s">
        <v>71</v>
      </c>
      <c r="C17" s="1" t="s">
        <v>106</v>
      </c>
      <c r="D17" s="1" t="s">
        <v>122</v>
      </c>
      <c r="E17" s="1" t="s">
        <v>181</v>
      </c>
      <c r="F17" s="1" t="s">
        <v>162</v>
      </c>
      <c r="G17" s="3" t="s">
        <v>182</v>
      </c>
      <c r="H17" s="2" t="s">
        <v>143</v>
      </c>
      <c r="I17" s="8">
        <v>550</v>
      </c>
      <c r="J17" s="3" t="s">
        <v>251</v>
      </c>
      <c r="K17" s="1" t="s">
        <v>170</v>
      </c>
      <c r="L17" s="2" t="s">
        <v>183</v>
      </c>
    </row>
    <row r="18" spans="1:12" ht="20.100000000000001" customHeight="1" x14ac:dyDescent="0.25">
      <c r="A18" s="2" t="s">
        <v>22</v>
      </c>
      <c r="B18" s="3" t="s">
        <v>72</v>
      </c>
      <c r="C18" s="1" t="s">
        <v>106</v>
      </c>
      <c r="D18" s="1" t="s">
        <v>122</v>
      </c>
      <c r="E18" s="1" t="s">
        <v>181</v>
      </c>
      <c r="F18" s="1" t="s">
        <v>165</v>
      </c>
      <c r="G18" s="3" t="s">
        <v>182</v>
      </c>
      <c r="H18" s="2" t="s">
        <v>143</v>
      </c>
      <c r="I18" s="8">
        <v>525</v>
      </c>
      <c r="J18" s="3" t="s">
        <v>251</v>
      </c>
      <c r="K18" s="1" t="s">
        <v>184</v>
      </c>
      <c r="L18" s="2" t="s">
        <v>145</v>
      </c>
    </row>
    <row r="19" spans="1:12" ht="20.100000000000001" customHeight="1" x14ac:dyDescent="0.25">
      <c r="A19" s="2" t="s">
        <v>23</v>
      </c>
      <c r="B19" s="3" t="s">
        <v>73</v>
      </c>
      <c r="C19" s="1" t="s">
        <v>106</v>
      </c>
      <c r="D19" s="1" t="s">
        <v>122</v>
      </c>
      <c r="E19" s="1" t="s">
        <v>185</v>
      </c>
      <c r="F19" s="1" t="s">
        <v>168</v>
      </c>
      <c r="G19" s="3" t="s">
        <v>186</v>
      </c>
      <c r="H19" s="2" t="s">
        <v>143</v>
      </c>
      <c r="I19" s="8">
        <v>480</v>
      </c>
      <c r="J19" s="3" t="s">
        <v>251</v>
      </c>
      <c r="K19" s="1" t="s">
        <v>170</v>
      </c>
      <c r="L19" s="2" t="s">
        <v>145</v>
      </c>
    </row>
    <row r="20" spans="1:12" ht="20.100000000000001" customHeight="1" x14ac:dyDescent="0.25">
      <c r="A20" s="2" t="s">
        <v>24</v>
      </c>
      <c r="B20" s="3" t="s">
        <v>74</v>
      </c>
      <c r="C20" s="1" t="s">
        <v>106</v>
      </c>
      <c r="D20" s="1" t="s">
        <v>123</v>
      </c>
      <c r="E20" s="1" t="s">
        <v>187</v>
      </c>
      <c r="F20" s="1" t="s">
        <v>171</v>
      </c>
      <c r="G20" s="3" t="s">
        <v>188</v>
      </c>
      <c r="H20" s="2" t="s">
        <v>143</v>
      </c>
      <c r="I20" s="8">
        <v>430</v>
      </c>
      <c r="J20" s="3" t="s">
        <v>251</v>
      </c>
      <c r="K20" s="1" t="s">
        <v>184</v>
      </c>
      <c r="L20" s="2" t="s">
        <v>145</v>
      </c>
    </row>
    <row r="21" spans="1:12" ht="20.100000000000001" customHeight="1" x14ac:dyDescent="0.25">
      <c r="A21" s="2" t="s">
        <v>25</v>
      </c>
      <c r="B21" s="3" t="s">
        <v>75</v>
      </c>
      <c r="C21" s="1" t="s">
        <v>106</v>
      </c>
      <c r="D21" s="1" t="s">
        <v>123</v>
      </c>
      <c r="E21" s="1" t="s">
        <v>189</v>
      </c>
      <c r="F21" s="1" t="s">
        <v>175</v>
      </c>
      <c r="G21" s="3" t="s">
        <v>188</v>
      </c>
      <c r="H21" s="2" t="s">
        <v>143</v>
      </c>
      <c r="I21" s="8">
        <v>450</v>
      </c>
      <c r="J21" s="3" t="s">
        <v>251</v>
      </c>
      <c r="K21" s="1" t="s">
        <v>144</v>
      </c>
      <c r="L21" s="2" t="s">
        <v>145</v>
      </c>
    </row>
    <row r="22" spans="1:12" ht="20.100000000000001" customHeight="1" x14ac:dyDescent="0.25">
      <c r="A22" s="2" t="s">
        <v>26</v>
      </c>
      <c r="B22" s="3" t="s">
        <v>76</v>
      </c>
      <c r="C22" s="1" t="s">
        <v>106</v>
      </c>
      <c r="D22" s="1" t="s">
        <v>123</v>
      </c>
      <c r="E22" s="1" t="s">
        <v>190</v>
      </c>
      <c r="F22" s="1" t="s">
        <v>150</v>
      </c>
      <c r="G22" s="3" t="s">
        <v>191</v>
      </c>
      <c r="H22" s="2" t="s">
        <v>143</v>
      </c>
      <c r="I22" s="9">
        <v>1050</v>
      </c>
      <c r="J22" s="3" t="s">
        <v>251</v>
      </c>
      <c r="K22" s="1" t="s">
        <v>192</v>
      </c>
      <c r="L22" s="2" t="s">
        <v>145</v>
      </c>
    </row>
    <row r="23" spans="1:12" ht="20.100000000000001" customHeight="1" x14ac:dyDescent="0.25">
      <c r="A23" s="2" t="s">
        <v>27</v>
      </c>
      <c r="B23" s="3" t="s">
        <v>77</v>
      </c>
      <c r="C23" s="1" t="s">
        <v>107</v>
      </c>
      <c r="D23" s="1" t="s">
        <v>124</v>
      </c>
      <c r="E23" s="1" t="s">
        <v>77</v>
      </c>
      <c r="F23" s="1" t="s">
        <v>141</v>
      </c>
      <c r="G23" s="3" t="s">
        <v>193</v>
      </c>
      <c r="H23" s="2" t="s">
        <v>143</v>
      </c>
      <c r="I23" s="9">
        <v>1350</v>
      </c>
      <c r="J23" s="3" t="s">
        <v>251</v>
      </c>
      <c r="K23" s="1" t="s">
        <v>144</v>
      </c>
      <c r="L23" s="2" t="s">
        <v>145</v>
      </c>
    </row>
    <row r="24" spans="1:12" ht="20.100000000000001" customHeight="1" x14ac:dyDescent="0.25">
      <c r="A24" s="2" t="s">
        <v>28</v>
      </c>
      <c r="B24" s="3" t="s">
        <v>77</v>
      </c>
      <c r="C24" s="1" t="s">
        <v>107</v>
      </c>
      <c r="D24" s="1" t="s">
        <v>124</v>
      </c>
      <c r="E24" s="1" t="s">
        <v>77</v>
      </c>
      <c r="F24" s="1" t="s">
        <v>147</v>
      </c>
      <c r="G24" s="3" t="s">
        <v>194</v>
      </c>
      <c r="H24" s="2" t="s">
        <v>143</v>
      </c>
      <c r="I24" s="9">
        <v>1450</v>
      </c>
      <c r="J24" s="3" t="s">
        <v>251</v>
      </c>
      <c r="K24" s="1" t="s">
        <v>195</v>
      </c>
      <c r="L24" s="2" t="s">
        <v>145</v>
      </c>
    </row>
    <row r="25" spans="1:12" ht="20.100000000000001" customHeight="1" x14ac:dyDescent="0.25">
      <c r="A25" s="2" t="s">
        <v>29</v>
      </c>
      <c r="B25" s="3" t="s">
        <v>78</v>
      </c>
      <c r="C25" s="1" t="s">
        <v>107</v>
      </c>
      <c r="D25" s="1" t="s">
        <v>125</v>
      </c>
      <c r="E25" s="1" t="s">
        <v>196</v>
      </c>
      <c r="F25" s="1" t="s">
        <v>153</v>
      </c>
      <c r="G25" s="3" t="s">
        <v>197</v>
      </c>
      <c r="H25" s="2" t="s">
        <v>143</v>
      </c>
      <c r="I25" s="9">
        <v>1150</v>
      </c>
      <c r="J25" s="3" t="s">
        <v>251</v>
      </c>
      <c r="K25" s="1" t="s">
        <v>144</v>
      </c>
      <c r="L25" s="2" t="s">
        <v>145</v>
      </c>
    </row>
    <row r="26" spans="1:12" ht="20.100000000000001" customHeight="1" x14ac:dyDescent="0.25">
      <c r="A26" s="2" t="s">
        <v>30</v>
      </c>
      <c r="B26" s="3" t="s">
        <v>79</v>
      </c>
      <c r="C26" s="1" t="s">
        <v>107</v>
      </c>
      <c r="D26" s="1" t="s">
        <v>125</v>
      </c>
      <c r="E26" s="1" t="s">
        <v>198</v>
      </c>
      <c r="F26" s="1" t="s">
        <v>159</v>
      </c>
      <c r="G26" s="3" t="s">
        <v>199</v>
      </c>
      <c r="H26" s="2" t="s">
        <v>143</v>
      </c>
      <c r="I26" s="9">
        <v>1450</v>
      </c>
      <c r="J26" s="3" t="s">
        <v>251</v>
      </c>
      <c r="K26" s="1" t="s">
        <v>144</v>
      </c>
      <c r="L26" s="2" t="s">
        <v>145</v>
      </c>
    </row>
    <row r="27" spans="1:12" ht="20.100000000000001" customHeight="1" x14ac:dyDescent="0.25">
      <c r="A27" s="2" t="s">
        <v>31</v>
      </c>
      <c r="B27" s="3" t="s">
        <v>80</v>
      </c>
      <c r="C27" s="1" t="s">
        <v>107</v>
      </c>
      <c r="D27" s="1" t="s">
        <v>126</v>
      </c>
      <c r="E27" s="1" t="s">
        <v>200</v>
      </c>
      <c r="F27" s="1" t="s">
        <v>162</v>
      </c>
      <c r="G27" s="3" t="s">
        <v>201</v>
      </c>
      <c r="H27" s="2" t="s">
        <v>143</v>
      </c>
      <c r="I27" s="9">
        <v>1100</v>
      </c>
      <c r="J27" s="3" t="s">
        <v>251</v>
      </c>
      <c r="K27" s="1" t="s">
        <v>144</v>
      </c>
      <c r="L27" s="2" t="s">
        <v>145</v>
      </c>
    </row>
    <row r="28" spans="1:12" ht="20.100000000000001" customHeight="1" x14ac:dyDescent="0.25">
      <c r="A28" s="2" t="s">
        <v>32</v>
      </c>
      <c r="B28" s="3" t="s">
        <v>81</v>
      </c>
      <c r="C28" s="1" t="s">
        <v>107</v>
      </c>
      <c r="D28" s="1" t="s">
        <v>126</v>
      </c>
      <c r="E28" s="1" t="s">
        <v>81</v>
      </c>
      <c r="F28" s="1" t="s">
        <v>165</v>
      </c>
      <c r="G28" s="3" t="s">
        <v>202</v>
      </c>
      <c r="H28" s="2" t="s">
        <v>143</v>
      </c>
      <c r="I28" s="9">
        <v>1300</v>
      </c>
      <c r="J28" s="3" t="s">
        <v>251</v>
      </c>
      <c r="K28" s="1" t="s">
        <v>180</v>
      </c>
      <c r="L28" s="2" t="s">
        <v>145</v>
      </c>
    </row>
    <row r="29" spans="1:12" ht="20.100000000000001" customHeight="1" x14ac:dyDescent="0.25">
      <c r="A29" s="2" t="s">
        <v>33</v>
      </c>
      <c r="B29" s="3" t="s">
        <v>82</v>
      </c>
      <c r="C29" s="1" t="s">
        <v>107</v>
      </c>
      <c r="D29" s="1" t="s">
        <v>127</v>
      </c>
      <c r="E29" s="1" t="s">
        <v>203</v>
      </c>
      <c r="F29" s="1" t="s">
        <v>168</v>
      </c>
      <c r="G29" s="3" t="s">
        <v>204</v>
      </c>
      <c r="H29" s="2" t="s">
        <v>143</v>
      </c>
      <c r="I29" s="9">
        <v>5800</v>
      </c>
      <c r="J29" s="3" t="s">
        <v>251</v>
      </c>
      <c r="K29" s="1" t="s">
        <v>144</v>
      </c>
      <c r="L29" s="2" t="s">
        <v>145</v>
      </c>
    </row>
    <row r="30" spans="1:12" ht="20.100000000000001" customHeight="1" x14ac:dyDescent="0.25">
      <c r="A30" s="2" t="s">
        <v>34</v>
      </c>
      <c r="B30" s="3" t="s">
        <v>82</v>
      </c>
      <c r="C30" s="1" t="s">
        <v>107</v>
      </c>
      <c r="D30" s="1" t="s">
        <v>127</v>
      </c>
      <c r="E30" s="1" t="s">
        <v>203</v>
      </c>
      <c r="F30" s="1" t="s">
        <v>171</v>
      </c>
      <c r="G30" s="3" t="s">
        <v>205</v>
      </c>
      <c r="H30" s="2" t="s">
        <v>143</v>
      </c>
      <c r="I30" s="9">
        <v>5500</v>
      </c>
      <c r="J30" s="3" t="s">
        <v>251</v>
      </c>
      <c r="K30" s="1" t="s">
        <v>206</v>
      </c>
      <c r="L30" s="2" t="s">
        <v>145</v>
      </c>
    </row>
    <row r="31" spans="1:12" ht="20.100000000000001" customHeight="1" x14ac:dyDescent="0.25">
      <c r="A31" s="2" t="s">
        <v>35</v>
      </c>
      <c r="B31" s="3" t="s">
        <v>83</v>
      </c>
      <c r="C31" s="1" t="s">
        <v>107</v>
      </c>
      <c r="D31" s="1" t="s">
        <v>128</v>
      </c>
      <c r="E31" s="1" t="s">
        <v>207</v>
      </c>
      <c r="F31" s="1" t="s">
        <v>175</v>
      </c>
      <c r="G31" s="3" t="s">
        <v>208</v>
      </c>
      <c r="H31" s="2" t="s">
        <v>143</v>
      </c>
      <c r="I31" s="9">
        <v>1600</v>
      </c>
      <c r="J31" s="3" t="s">
        <v>251</v>
      </c>
      <c r="K31" s="1" t="s">
        <v>144</v>
      </c>
      <c r="L31" s="2" t="s">
        <v>145</v>
      </c>
    </row>
    <row r="32" spans="1:12" ht="20.100000000000001" customHeight="1" x14ac:dyDescent="0.25">
      <c r="A32" s="2" t="s">
        <v>36</v>
      </c>
      <c r="B32" s="3" t="s">
        <v>84</v>
      </c>
      <c r="C32" s="1" t="s">
        <v>107</v>
      </c>
      <c r="D32" s="1" t="s">
        <v>128</v>
      </c>
      <c r="E32" s="1" t="s">
        <v>84</v>
      </c>
      <c r="F32" s="1" t="s">
        <v>141</v>
      </c>
      <c r="G32" s="3" t="s">
        <v>209</v>
      </c>
      <c r="H32" s="2" t="s">
        <v>143</v>
      </c>
      <c r="I32" s="9">
        <v>1850</v>
      </c>
      <c r="J32" s="3" t="s">
        <v>251</v>
      </c>
      <c r="K32" s="1" t="s">
        <v>144</v>
      </c>
      <c r="L32" s="2" t="s">
        <v>145</v>
      </c>
    </row>
    <row r="33" spans="1:12" ht="20.100000000000001" customHeight="1" x14ac:dyDescent="0.25">
      <c r="A33" s="2" t="s">
        <v>37</v>
      </c>
      <c r="B33" s="3" t="s">
        <v>85</v>
      </c>
      <c r="C33" s="1" t="s">
        <v>108</v>
      </c>
      <c r="D33" s="1" t="s">
        <v>129</v>
      </c>
      <c r="E33" s="1" t="s">
        <v>210</v>
      </c>
      <c r="F33" s="1" t="s">
        <v>147</v>
      </c>
      <c r="G33" s="3" t="s">
        <v>211</v>
      </c>
      <c r="H33" s="2" t="s">
        <v>212</v>
      </c>
      <c r="I33" s="9">
        <v>72000</v>
      </c>
      <c r="J33" s="3" t="s">
        <v>251</v>
      </c>
      <c r="K33" s="1" t="s">
        <v>206</v>
      </c>
      <c r="L33" s="2" t="s">
        <v>145</v>
      </c>
    </row>
    <row r="34" spans="1:12" ht="20.100000000000001" customHeight="1" x14ac:dyDescent="0.25">
      <c r="A34" s="2" t="s">
        <v>38</v>
      </c>
      <c r="B34" s="3" t="s">
        <v>86</v>
      </c>
      <c r="C34" s="1" t="s">
        <v>108</v>
      </c>
      <c r="D34" s="1" t="s">
        <v>129</v>
      </c>
      <c r="E34" s="1" t="s">
        <v>213</v>
      </c>
      <c r="F34" s="1" t="s">
        <v>150</v>
      </c>
      <c r="G34" s="3" t="s">
        <v>214</v>
      </c>
      <c r="H34" s="2" t="s">
        <v>212</v>
      </c>
      <c r="I34" s="9">
        <v>68000</v>
      </c>
      <c r="J34" s="3" t="s">
        <v>251</v>
      </c>
      <c r="K34" s="1" t="s">
        <v>206</v>
      </c>
      <c r="L34" s="2" t="s">
        <v>215</v>
      </c>
    </row>
    <row r="35" spans="1:12" ht="20.100000000000001" customHeight="1" x14ac:dyDescent="0.25">
      <c r="A35" s="2" t="s">
        <v>39</v>
      </c>
      <c r="B35" s="3" t="s">
        <v>87</v>
      </c>
      <c r="C35" s="1" t="s">
        <v>108</v>
      </c>
      <c r="D35" s="1" t="s">
        <v>130</v>
      </c>
      <c r="E35" s="1" t="s">
        <v>216</v>
      </c>
      <c r="F35" s="1" t="s">
        <v>153</v>
      </c>
      <c r="G35" s="3" t="s">
        <v>217</v>
      </c>
      <c r="H35" s="2" t="s">
        <v>143</v>
      </c>
      <c r="I35" s="9">
        <v>2350</v>
      </c>
      <c r="J35" s="3" t="s">
        <v>251</v>
      </c>
      <c r="K35" s="1" t="s">
        <v>218</v>
      </c>
      <c r="L35" s="2" t="s">
        <v>145</v>
      </c>
    </row>
    <row r="36" spans="1:12" ht="20.100000000000001" customHeight="1" x14ac:dyDescent="0.25">
      <c r="A36" s="2" t="s">
        <v>40</v>
      </c>
      <c r="B36" s="3" t="s">
        <v>88</v>
      </c>
      <c r="C36" s="1" t="s">
        <v>108</v>
      </c>
      <c r="D36" s="1" t="s">
        <v>131</v>
      </c>
      <c r="E36" s="1" t="s">
        <v>219</v>
      </c>
      <c r="F36" s="1" t="s">
        <v>159</v>
      </c>
      <c r="G36" s="3" t="s">
        <v>220</v>
      </c>
      <c r="H36" s="2" t="s">
        <v>143</v>
      </c>
      <c r="I36" s="9">
        <v>8700</v>
      </c>
      <c r="J36" s="3" t="s">
        <v>251</v>
      </c>
      <c r="K36" s="1" t="s">
        <v>221</v>
      </c>
      <c r="L36" s="2" t="s">
        <v>145</v>
      </c>
    </row>
    <row r="37" spans="1:12" ht="20.100000000000001" customHeight="1" x14ac:dyDescent="0.25">
      <c r="A37" s="2" t="s">
        <v>41</v>
      </c>
      <c r="B37" s="3" t="s">
        <v>89</v>
      </c>
      <c r="C37" s="1" t="s">
        <v>109</v>
      </c>
      <c r="D37" s="1" t="s">
        <v>132</v>
      </c>
      <c r="E37" s="1" t="s">
        <v>222</v>
      </c>
      <c r="F37" s="1" t="s">
        <v>162</v>
      </c>
      <c r="G37" s="3" t="s">
        <v>223</v>
      </c>
      <c r="H37" s="2" t="s">
        <v>224</v>
      </c>
      <c r="I37" s="8">
        <v>0.28000000000000003</v>
      </c>
      <c r="J37" s="3" t="s">
        <v>251</v>
      </c>
      <c r="K37" s="1" t="s">
        <v>167</v>
      </c>
      <c r="L37" s="2" t="s">
        <v>145</v>
      </c>
    </row>
    <row r="38" spans="1:12" ht="20.100000000000001" customHeight="1" x14ac:dyDescent="0.25">
      <c r="A38" s="2" t="s">
        <v>42</v>
      </c>
      <c r="B38" s="3" t="s">
        <v>89</v>
      </c>
      <c r="C38" s="1" t="s">
        <v>109</v>
      </c>
      <c r="D38" s="1" t="s">
        <v>132</v>
      </c>
      <c r="E38" s="1" t="s">
        <v>225</v>
      </c>
      <c r="F38" s="1" t="s">
        <v>165</v>
      </c>
      <c r="G38" s="3" t="s">
        <v>226</v>
      </c>
      <c r="H38" s="2" t="s">
        <v>224</v>
      </c>
      <c r="I38" s="8">
        <v>0.42</v>
      </c>
      <c r="J38" s="3" t="s">
        <v>251</v>
      </c>
      <c r="K38" s="1" t="s">
        <v>167</v>
      </c>
      <c r="L38" s="2" t="s">
        <v>145</v>
      </c>
    </row>
    <row r="39" spans="1:12" ht="20.100000000000001" customHeight="1" x14ac:dyDescent="0.25">
      <c r="A39" s="2" t="s">
        <v>43</v>
      </c>
      <c r="B39" s="3" t="s">
        <v>90</v>
      </c>
      <c r="C39" s="1" t="s">
        <v>109</v>
      </c>
      <c r="D39" s="1" t="s">
        <v>133</v>
      </c>
      <c r="E39" s="1" t="s">
        <v>90</v>
      </c>
      <c r="F39" s="1" t="s">
        <v>168</v>
      </c>
      <c r="G39" s="3" t="s">
        <v>227</v>
      </c>
      <c r="H39" s="2" t="s">
        <v>224</v>
      </c>
      <c r="I39" s="8">
        <v>4.5</v>
      </c>
      <c r="J39" s="3" t="s">
        <v>251</v>
      </c>
      <c r="K39" s="1" t="s">
        <v>228</v>
      </c>
      <c r="L39" s="2" t="s">
        <v>145</v>
      </c>
    </row>
    <row r="40" spans="1:12" ht="20.100000000000001" customHeight="1" x14ac:dyDescent="0.25">
      <c r="A40" s="2" t="s">
        <v>44</v>
      </c>
      <c r="B40" s="3" t="s">
        <v>91</v>
      </c>
      <c r="C40" s="1" t="s">
        <v>109</v>
      </c>
      <c r="D40" s="1" t="s">
        <v>133</v>
      </c>
      <c r="E40" s="1" t="s">
        <v>90</v>
      </c>
      <c r="F40" s="1" t="s">
        <v>171</v>
      </c>
      <c r="G40" s="3" t="s">
        <v>227</v>
      </c>
      <c r="H40" s="2" t="s">
        <v>224</v>
      </c>
      <c r="I40" s="8">
        <v>4.5999999999999996</v>
      </c>
      <c r="J40" s="3" t="s">
        <v>251</v>
      </c>
      <c r="K40" s="1" t="s">
        <v>228</v>
      </c>
      <c r="L40" s="2" t="s">
        <v>183</v>
      </c>
    </row>
    <row r="41" spans="1:12" ht="20.100000000000001" customHeight="1" x14ac:dyDescent="0.25">
      <c r="A41" s="2" t="s">
        <v>45</v>
      </c>
      <c r="B41" s="3" t="s">
        <v>92</v>
      </c>
      <c r="C41" s="1" t="s">
        <v>110</v>
      </c>
      <c r="D41" s="1" t="s">
        <v>134</v>
      </c>
      <c r="E41" s="1" t="s">
        <v>92</v>
      </c>
      <c r="F41" s="1" t="s">
        <v>175</v>
      </c>
      <c r="G41" s="3" t="s">
        <v>229</v>
      </c>
      <c r="H41" s="2" t="s">
        <v>143</v>
      </c>
      <c r="I41" s="8">
        <v>420</v>
      </c>
      <c r="J41" s="3" t="s">
        <v>251</v>
      </c>
      <c r="K41" s="1" t="s">
        <v>228</v>
      </c>
      <c r="L41" s="2" t="s">
        <v>145</v>
      </c>
    </row>
    <row r="42" spans="1:12" ht="20.100000000000001" customHeight="1" x14ac:dyDescent="0.25">
      <c r="A42" s="2" t="s">
        <v>46</v>
      </c>
      <c r="B42" s="3" t="s">
        <v>93</v>
      </c>
      <c r="C42" s="1" t="s">
        <v>110</v>
      </c>
      <c r="D42" s="1" t="s">
        <v>135</v>
      </c>
      <c r="E42" s="1" t="s">
        <v>230</v>
      </c>
      <c r="F42" s="1" t="s">
        <v>141</v>
      </c>
      <c r="G42" s="3" t="s">
        <v>231</v>
      </c>
      <c r="H42" s="2" t="s">
        <v>143</v>
      </c>
      <c r="I42" s="8">
        <v>280</v>
      </c>
      <c r="J42" s="3" t="s">
        <v>251</v>
      </c>
      <c r="K42" s="1" t="s">
        <v>167</v>
      </c>
      <c r="L42" s="2" t="s">
        <v>145</v>
      </c>
    </row>
    <row r="43" spans="1:12" ht="20.100000000000001" customHeight="1" x14ac:dyDescent="0.25">
      <c r="A43" s="2" t="s">
        <v>47</v>
      </c>
      <c r="B43" s="3" t="s">
        <v>94</v>
      </c>
      <c r="C43" s="1" t="s">
        <v>110</v>
      </c>
      <c r="D43" s="1" t="s">
        <v>135</v>
      </c>
      <c r="E43" s="1" t="s">
        <v>94</v>
      </c>
      <c r="F43" s="1" t="s">
        <v>147</v>
      </c>
      <c r="G43" s="3" t="s">
        <v>231</v>
      </c>
      <c r="H43" s="2" t="s">
        <v>143</v>
      </c>
      <c r="I43" s="8">
        <v>295</v>
      </c>
      <c r="J43" s="3" t="s">
        <v>251</v>
      </c>
      <c r="K43" s="1" t="s">
        <v>167</v>
      </c>
      <c r="L43" s="2" t="s">
        <v>145</v>
      </c>
    </row>
    <row r="44" spans="1:12" ht="20.100000000000001" customHeight="1" x14ac:dyDescent="0.25">
      <c r="A44" s="2" t="s">
        <v>48</v>
      </c>
      <c r="B44" s="3" t="s">
        <v>95</v>
      </c>
      <c r="C44" s="1" t="s">
        <v>111</v>
      </c>
      <c r="D44" s="1" t="s">
        <v>136</v>
      </c>
      <c r="E44" s="1" t="s">
        <v>95</v>
      </c>
      <c r="F44" s="1" t="s">
        <v>150</v>
      </c>
      <c r="G44" s="3" t="s">
        <v>232</v>
      </c>
      <c r="H44" s="2" t="s">
        <v>143</v>
      </c>
      <c r="I44" s="8">
        <v>680</v>
      </c>
      <c r="J44" s="3" t="s">
        <v>251</v>
      </c>
      <c r="K44" s="1" t="s">
        <v>170</v>
      </c>
      <c r="L44" s="2" t="s">
        <v>145</v>
      </c>
    </row>
    <row r="45" spans="1:12" ht="20.100000000000001" customHeight="1" x14ac:dyDescent="0.25">
      <c r="A45" s="2" t="s">
        <v>49</v>
      </c>
      <c r="B45" s="3" t="s">
        <v>96</v>
      </c>
      <c r="C45" s="1" t="s">
        <v>111</v>
      </c>
      <c r="D45" s="1" t="s">
        <v>136</v>
      </c>
      <c r="E45" s="1" t="s">
        <v>96</v>
      </c>
      <c r="F45" s="1" t="s">
        <v>153</v>
      </c>
      <c r="G45" s="3" t="s">
        <v>233</v>
      </c>
      <c r="H45" s="2" t="s">
        <v>143</v>
      </c>
      <c r="I45" s="8">
        <v>650</v>
      </c>
      <c r="J45" s="3" t="s">
        <v>251</v>
      </c>
      <c r="K45" s="1" t="s">
        <v>170</v>
      </c>
      <c r="L45" s="2" t="s">
        <v>145</v>
      </c>
    </row>
    <row r="46" spans="1:12" ht="20.100000000000001" customHeight="1" x14ac:dyDescent="0.25">
      <c r="A46" s="2" t="s">
        <v>50</v>
      </c>
      <c r="B46" s="3" t="s">
        <v>97</v>
      </c>
      <c r="C46" s="1" t="s">
        <v>112</v>
      </c>
      <c r="D46" s="1" t="s">
        <v>137</v>
      </c>
      <c r="E46" s="1" t="s">
        <v>234</v>
      </c>
      <c r="F46" s="1" t="s">
        <v>159</v>
      </c>
      <c r="G46" s="3" t="s">
        <v>235</v>
      </c>
      <c r="H46" s="2" t="s">
        <v>143</v>
      </c>
      <c r="I46" s="9">
        <v>1650</v>
      </c>
      <c r="J46" s="3" t="s">
        <v>251</v>
      </c>
      <c r="K46" s="1" t="s">
        <v>144</v>
      </c>
      <c r="L46" s="2" t="s">
        <v>145</v>
      </c>
    </row>
    <row r="47" spans="1:12" ht="20.100000000000001" customHeight="1" x14ac:dyDescent="0.25">
      <c r="A47" s="2" t="s">
        <v>51</v>
      </c>
      <c r="B47" s="3" t="s">
        <v>98</v>
      </c>
      <c r="C47" s="1" t="s">
        <v>112</v>
      </c>
      <c r="D47" s="1" t="s">
        <v>137</v>
      </c>
      <c r="E47" s="1" t="s">
        <v>98</v>
      </c>
      <c r="F47" s="1" t="s">
        <v>162</v>
      </c>
      <c r="G47" s="3" t="s">
        <v>236</v>
      </c>
      <c r="H47" s="2" t="s">
        <v>143</v>
      </c>
      <c r="I47" s="9">
        <v>1700</v>
      </c>
      <c r="J47" s="3" t="s">
        <v>251</v>
      </c>
      <c r="K47" s="1" t="s">
        <v>237</v>
      </c>
      <c r="L47" s="2" t="s">
        <v>145</v>
      </c>
    </row>
    <row r="48" spans="1:12" ht="20.100000000000001" customHeight="1" x14ac:dyDescent="0.25">
      <c r="A48" s="2" t="s">
        <v>52</v>
      </c>
      <c r="B48" s="3" t="s">
        <v>99</v>
      </c>
      <c r="C48" s="1" t="s">
        <v>106</v>
      </c>
      <c r="D48" s="1" t="s">
        <v>138</v>
      </c>
      <c r="E48" s="1" t="s">
        <v>238</v>
      </c>
      <c r="F48" s="1" t="s">
        <v>165</v>
      </c>
      <c r="G48" s="3" t="s">
        <v>239</v>
      </c>
      <c r="H48" s="2" t="s">
        <v>143</v>
      </c>
      <c r="I48" s="8">
        <v>260</v>
      </c>
      <c r="J48" s="3" t="s">
        <v>251</v>
      </c>
      <c r="K48" s="1" t="s">
        <v>144</v>
      </c>
      <c r="L48" s="2" t="s">
        <v>145</v>
      </c>
    </row>
    <row r="49" spans="1:12" ht="20.100000000000001" customHeight="1" x14ac:dyDescent="0.25">
      <c r="A49" s="2" t="s">
        <v>53</v>
      </c>
      <c r="B49" s="3" t="s">
        <v>100</v>
      </c>
      <c r="C49" s="1" t="s">
        <v>106</v>
      </c>
      <c r="D49" s="1" t="s">
        <v>138</v>
      </c>
      <c r="E49" s="1" t="s">
        <v>238</v>
      </c>
      <c r="F49" s="1" t="s">
        <v>168</v>
      </c>
      <c r="G49" s="3" t="s">
        <v>239</v>
      </c>
      <c r="H49" s="2" t="s">
        <v>143</v>
      </c>
      <c r="I49" s="8">
        <v>265</v>
      </c>
      <c r="J49" s="3" t="s">
        <v>251</v>
      </c>
      <c r="K49" s="1" t="s">
        <v>144</v>
      </c>
      <c r="L49" s="2" t="s">
        <v>183</v>
      </c>
    </row>
    <row r="50" spans="1:12" ht="20.100000000000001" customHeight="1" x14ac:dyDescent="0.25">
      <c r="A50" s="2" t="s">
        <v>54</v>
      </c>
      <c r="B50" s="3" t="s">
        <v>101</v>
      </c>
      <c r="C50" s="1" t="s">
        <v>106</v>
      </c>
      <c r="D50" s="1" t="s">
        <v>138</v>
      </c>
      <c r="E50" s="1" t="s">
        <v>240</v>
      </c>
      <c r="F50" s="1" t="s">
        <v>171</v>
      </c>
      <c r="G50" s="3" t="s">
        <v>241</v>
      </c>
      <c r="H50" s="2" t="s">
        <v>143</v>
      </c>
      <c r="I50" s="8">
        <v>310</v>
      </c>
      <c r="J50" s="3" t="s">
        <v>251</v>
      </c>
      <c r="K50" s="1" t="s">
        <v>242</v>
      </c>
      <c r="L50" s="2" t="s">
        <v>145</v>
      </c>
    </row>
    <row r="51" spans="1:12" ht="20.100000000000001" customHeight="1" x14ac:dyDescent="0.25">
      <c r="A51" s="2" t="s">
        <v>55</v>
      </c>
      <c r="B51" s="3" t="s">
        <v>102</v>
      </c>
      <c r="C51" s="1" t="s">
        <v>106</v>
      </c>
      <c r="D51" s="1" t="s">
        <v>138</v>
      </c>
      <c r="E51" s="1" t="s">
        <v>102</v>
      </c>
      <c r="F51" s="1" t="s">
        <v>175</v>
      </c>
      <c r="G51" s="3" t="s">
        <v>243</v>
      </c>
      <c r="H51" s="2" t="s">
        <v>143</v>
      </c>
      <c r="I51" s="8">
        <v>390</v>
      </c>
      <c r="J51" s="3" t="s">
        <v>251</v>
      </c>
      <c r="K51" s="1" t="s">
        <v>144</v>
      </c>
      <c r="L51" s="2" t="s">
        <v>145</v>
      </c>
    </row>
    <row r="52" spans="1:12" ht="20.100000000000001" customHeight="1" x14ac:dyDescent="0.25">
      <c r="A52" s="2" t="s">
        <v>56</v>
      </c>
      <c r="B52" s="3" t="s">
        <v>103</v>
      </c>
      <c r="C52" s="1" t="s">
        <v>106</v>
      </c>
      <c r="D52" s="1" t="s">
        <v>139</v>
      </c>
      <c r="E52" s="1" t="s">
        <v>103</v>
      </c>
      <c r="F52" s="1" t="s">
        <v>141</v>
      </c>
      <c r="G52" s="3" t="s">
        <v>244</v>
      </c>
      <c r="H52" s="2" t="s">
        <v>143</v>
      </c>
      <c r="I52" s="8">
        <v>420</v>
      </c>
      <c r="J52" s="3" t="s">
        <v>251</v>
      </c>
      <c r="K52" s="1" t="s">
        <v>144</v>
      </c>
      <c r="L52" s="2" t="s">
        <v>145</v>
      </c>
    </row>
  </sheetData>
  <autoFilter ref="A2:L52"/>
  <mergeCells count="1">
    <mergeCell ref="A1:L1"/>
  </mergeCells>
  <pageMargins left="0.25" right="0.25" top="0.75" bottom="0.75" header="0.3" footer="0.3"/>
  <pageSetup paperSize="9" scale="60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0599AD1-52E7-484D-AF90-6942089BF067}">
            <xm:f>NOT(ISERROR(SEARCH($L$40,A3)))</xm:f>
            <xm:f>$L$40</xm:f>
            <x14:dxf>
              <font>
                <color rgb="FFFFFF00"/>
              </font>
            </x14:dxf>
          </x14:cfRule>
          <x14:cfRule type="containsText" priority="3" operator="containsText" id="{7F515B96-0953-4277-B5AB-88E35BF70174}">
            <xm:f>NOT(ISERROR(SEARCH($L$34,A3)))</xm:f>
            <xm:f>$L$34</xm:f>
            <x14:dxf>
              <font>
                <color theme="9" tint="-0.24994659260841701"/>
              </font>
            </x14:dxf>
          </x14:cfRule>
          <x14:cfRule type="containsText" priority="4" operator="containsText" id="{2E137DDE-7FE7-44BD-A108-8D75240C8DF6}">
            <xm:f>NOT(ISERROR(SEARCH($L$17,A3)))</xm:f>
            <xm:f>$L$17</xm:f>
            <x14:dxf>
              <font>
                <color rgb="FFFFFF00"/>
              </font>
            </x14:dxf>
          </x14:cfRule>
          <x14:cfRule type="containsText" priority="5" operator="containsText" id="{B62A6E28-0DF1-47A1-8FC3-AC5BDCB51291}">
            <xm:f>NOT(ISERROR(SEARCH($L$3,A3)))</xm:f>
            <xm:f>$L$3</xm:f>
            <x14:dxf>
              <font>
                <color theme="6" tint="-0.24994659260841701"/>
              </font>
            </x14:dxf>
          </x14:cfRule>
          <xm:sqref>A3:H52 K3:L52</xm:sqref>
        </x14:conditionalFormatting>
        <x14:conditionalFormatting xmlns:xm="http://schemas.microsoft.com/office/excel/2006/main">
          <x14:cfRule type="containsText" priority="1" operator="containsText" id="{5C49CC6F-B40B-4092-A82B-7A2482D6CA06}">
            <xm:f>NOT(ISERROR(SEARCH($L$49,A3)))</xm:f>
            <xm:f>$L$49</xm:f>
            <x14:dxf>
              <font>
                <color rgb="FF0070C0"/>
              </font>
            </x14:dxf>
          </x14:cfRule>
          <xm:sqref>A3:L52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view="pageBreakPreview" topLeftCell="B1" zoomScale="110" zoomScaleNormal="160" zoomScaleSheetLayoutView="110" workbookViewId="0">
      <pane ySplit="1" topLeftCell="A2" activePane="bottomLeft" state="frozen"/>
      <selection activeCell="D1" sqref="D1"/>
      <selection pane="bottomLeft" activeCell="C2" sqref="C2"/>
    </sheetView>
  </sheetViews>
  <sheetFormatPr defaultRowHeight="15" x14ac:dyDescent="0.25"/>
  <cols>
    <col min="1" max="1" width="18.7109375" customWidth="1"/>
    <col min="2" max="2" width="30.7109375" customWidth="1"/>
    <col min="3" max="3" width="18.7109375" customWidth="1"/>
    <col min="4" max="4" width="30.7109375" customWidth="1"/>
    <col min="5" max="5" width="35.7109375" customWidth="1"/>
    <col min="6" max="6" width="20.7109375" customWidth="1"/>
  </cols>
  <sheetData>
    <row r="1" spans="1:6" ht="24.95" customHeight="1" x14ac:dyDescent="0.25">
      <c r="A1" s="19" t="s">
        <v>253</v>
      </c>
      <c r="B1" s="21" t="s">
        <v>254</v>
      </c>
      <c r="C1" s="19" t="s">
        <v>255</v>
      </c>
      <c r="D1" s="16" t="s">
        <v>256</v>
      </c>
      <c r="E1" s="16" t="s">
        <v>257</v>
      </c>
      <c r="F1" s="19" t="s">
        <v>258</v>
      </c>
    </row>
    <row r="2" spans="1:6" ht="35.1" customHeight="1" x14ac:dyDescent="0.25">
      <c r="A2" s="20" t="str">
        <f>'Product Catalogue'!A16</f>
        <v>SUG-ICU-001</v>
      </c>
      <c r="B2" s="36" t="str">
        <f>'Product Catalogue'!B16</f>
        <v>ICUMSA 45 Sugar</v>
      </c>
      <c r="C2" s="37" t="str">
        <f>'Product Catalogue'!A17</f>
        <v>SUG-ICU-002</v>
      </c>
      <c r="D2" s="4" t="str">
        <f>'Product Catalogue'!B17</f>
        <v>Refined White Sugar IC45</v>
      </c>
      <c r="E2" s="17" t="s">
        <v>259</v>
      </c>
      <c r="F2" s="18" t="s">
        <v>260</v>
      </c>
    </row>
    <row r="3" spans="1:6" ht="35.1" customHeight="1" x14ac:dyDescent="0.25">
      <c r="A3" s="20" t="str">
        <f>'Product Catalogue'!A38</f>
        <v>PAC-BAG-002</v>
      </c>
      <c r="B3" s="36" t="str">
        <f>'Product Catalogue'!B38</f>
        <v>PP Woven Bags</v>
      </c>
      <c r="C3" s="37" t="str">
        <f>'Product Catalogue'!A39</f>
        <v>PAC-JUM-001</v>
      </c>
      <c r="D3" s="4" t="str">
        <f>'Product Catalogue'!B39</f>
        <v>FIBC Jumbo Bag</v>
      </c>
      <c r="E3" s="17" t="s">
        <v>261</v>
      </c>
      <c r="F3" s="18" t="s">
        <v>260</v>
      </c>
    </row>
    <row r="4" spans="1:6" ht="35.1" customHeight="1" x14ac:dyDescent="0.25">
      <c r="A4" s="20" t="str">
        <f>'Product Catalogue'!A47</f>
        <v>TEX-COT-002</v>
      </c>
      <c r="B4" s="36" t="str">
        <f>'Product Catalogue'!B47</f>
        <v>Cotton Lint</v>
      </c>
      <c r="C4" s="37" t="str">
        <f>'Product Catalogue'!A48</f>
        <v>GRA-MAI-001</v>
      </c>
      <c r="D4" s="4" t="str">
        <f>'Product Catalogue'!B48</f>
        <v>Maize</v>
      </c>
      <c r="E4" s="17" t="s">
        <v>262</v>
      </c>
      <c r="F4" s="18" t="s">
        <v>260</v>
      </c>
    </row>
  </sheetData>
  <conditionalFormatting sqref="F2:F4">
    <cfRule type="containsText" dxfId="1" priority="1" operator="containsText" text="Pending Review">
      <formula>NOT(ISERROR(SEARCH("Pending Review",F2)))</formula>
    </cfRule>
  </conditionalFormatting>
  <pageMargins left="0.7" right="0.7" top="0.75" bottom="0.75" header="0.3" footer="0.3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view="pageBreakPreview" zoomScale="110" zoomScaleNormal="140" zoomScaleSheetLayoutView="11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2" width="24.7109375" customWidth="1"/>
    <col min="3" max="3" width="28.7109375" customWidth="1"/>
  </cols>
  <sheetData>
    <row r="1" spans="1:3" x14ac:dyDescent="0.25">
      <c r="A1" s="5" t="s">
        <v>248</v>
      </c>
      <c r="B1" s="5" t="s">
        <v>0</v>
      </c>
      <c r="C1" s="5" t="s">
        <v>5</v>
      </c>
    </row>
    <row r="2" spans="1:3" x14ac:dyDescent="0.25">
      <c r="A2" s="4" t="str">
        <f>'Product Catalogue'!C3</f>
        <v>Biomass</v>
      </c>
      <c r="B2" s="4" t="str">
        <f>'Product Catalogue'!D3</f>
        <v>Palm Kernel Shells</v>
      </c>
      <c r="C2" s="4" t="str">
        <f>'Product Catalogue'!E3</f>
        <v>Standard Grade</v>
      </c>
    </row>
    <row r="3" spans="1:3" x14ac:dyDescent="0.25">
      <c r="A3" s="4" t="str">
        <f>'Product Catalogue'!C4</f>
        <v>Biomass</v>
      </c>
      <c r="B3" s="4" t="str">
        <f>'Product Catalogue'!D4</f>
        <v>Palm Kernel Shells</v>
      </c>
      <c r="C3" s="4" t="str">
        <f>'Product Catalogue'!E4</f>
        <v>Premium Grade</v>
      </c>
    </row>
    <row r="4" spans="1:3" x14ac:dyDescent="0.25">
      <c r="A4" s="4" t="str">
        <f>'Product Catalogue'!C5</f>
        <v>Biomass</v>
      </c>
      <c r="B4" s="4" t="str">
        <f>'Product Catalogue'!D5</f>
        <v>Wood Pellets</v>
      </c>
      <c r="C4" s="4" t="str">
        <f>'Product Catalogue'!E5</f>
        <v>Industrial Grade</v>
      </c>
    </row>
    <row r="5" spans="1:3" x14ac:dyDescent="0.25">
      <c r="A5" s="4" t="str">
        <f>'Product Catalogue'!C6</f>
        <v>Biomass</v>
      </c>
      <c r="B5" s="4" t="str">
        <f>'Product Catalogue'!D6</f>
        <v>Wood Pellets</v>
      </c>
      <c r="C5" s="4" t="str">
        <f>'Product Catalogue'!E6</f>
        <v>Premium Grade</v>
      </c>
    </row>
    <row r="6" spans="1:3" x14ac:dyDescent="0.25">
      <c r="A6" s="4" t="str">
        <f>'Product Catalogue'!C7</f>
        <v>Biomass</v>
      </c>
      <c r="B6" s="4" t="str">
        <f>'Product Catalogue'!D7</f>
        <v>Sawdust</v>
      </c>
      <c r="C6" s="4" t="str">
        <f>'Product Catalogue'!E7</f>
        <v>Dry Grade</v>
      </c>
    </row>
    <row r="7" spans="1:3" x14ac:dyDescent="0.25">
      <c r="A7" s="4" t="str">
        <f>'Product Catalogue'!C8</f>
        <v>Biomass</v>
      </c>
      <c r="B7" s="4" t="str">
        <f>'Product Catalogue'!D8</f>
        <v>Briquettes</v>
      </c>
      <c r="C7" s="4" t="str">
        <f>'Product Catalogue'!E8</f>
        <v>Biomass Briquette</v>
      </c>
    </row>
    <row r="8" spans="1:3" x14ac:dyDescent="0.25">
      <c r="A8" s="4" t="str">
        <f>'Product Catalogue'!C9</f>
        <v>Oils &amp; Fats</v>
      </c>
      <c r="B8" s="4" t="str">
        <f>'Product Catalogue'!D9</f>
        <v>Sunflower Oil</v>
      </c>
      <c r="C8" s="4" t="str">
        <f>'Product Catalogue'!E9</f>
        <v>Crude Oil</v>
      </c>
    </row>
    <row r="9" spans="1:3" x14ac:dyDescent="0.25">
      <c r="A9" s="4" t="str">
        <f>'Product Catalogue'!C10</f>
        <v>Oils &amp; Fats</v>
      </c>
      <c r="B9" s="4" t="str">
        <f>'Product Catalogue'!D10</f>
        <v>Sunflower Oil</v>
      </c>
      <c r="C9" s="4" t="str">
        <f>'Product Catalogue'!E10</f>
        <v>Refined Oil</v>
      </c>
    </row>
    <row r="10" spans="1:3" x14ac:dyDescent="0.25">
      <c r="A10" s="4" t="str">
        <f>'Product Catalogue'!C11</f>
        <v>Oils &amp; Fats</v>
      </c>
      <c r="B10" s="4" t="str">
        <f>'Product Catalogue'!D11</f>
        <v>Soybean Oil</v>
      </c>
      <c r="C10" s="4" t="str">
        <f>'Product Catalogue'!E11</f>
        <v>Crude Oil</v>
      </c>
    </row>
    <row r="11" spans="1:3" x14ac:dyDescent="0.25">
      <c r="A11" s="4" t="str">
        <f>'Product Catalogue'!C12</f>
        <v>Oils &amp; Fats</v>
      </c>
      <c r="B11" s="4" t="str">
        <f>'Product Catalogue'!D12</f>
        <v>Palm Oil</v>
      </c>
      <c r="C11" s="4" t="str">
        <f>'Product Catalogue'!E12</f>
        <v>Crude Palm Oil</v>
      </c>
    </row>
    <row r="12" spans="1:3" x14ac:dyDescent="0.25">
      <c r="A12" s="4" t="str">
        <f>'Product Catalogue'!C13</f>
        <v>Oils &amp; Fats</v>
      </c>
      <c r="B12" s="4" t="str">
        <f>'Product Catalogue'!D13</f>
        <v>Shea Products</v>
      </c>
      <c r="C12" s="4" t="str">
        <f>'Product Catalogue'!E13</f>
        <v>Unrefined Shea Butter</v>
      </c>
    </row>
    <row r="13" spans="1:3" x14ac:dyDescent="0.25">
      <c r="A13" s="4" t="str">
        <f>'Product Catalogue'!C14</f>
        <v>Oils &amp; Fats</v>
      </c>
      <c r="B13" s="4" t="str">
        <f>'Product Catalogue'!D14</f>
        <v>Shea Products</v>
      </c>
      <c r="C13" s="4" t="str">
        <f>'Product Catalogue'!E14</f>
        <v>Refined Shea Butter</v>
      </c>
    </row>
    <row r="14" spans="1:3" x14ac:dyDescent="0.25">
      <c r="A14" s="4" t="str">
        <f>'Product Catalogue'!C15</f>
        <v>Oils &amp; Fats</v>
      </c>
      <c r="B14" s="4" t="str">
        <f>'Product Catalogue'!D15</f>
        <v>Coconut Oil</v>
      </c>
      <c r="C14" s="4" t="str">
        <f>'Product Catalogue'!E15</f>
        <v>Virgin Oil</v>
      </c>
    </row>
    <row r="15" spans="1:3" x14ac:dyDescent="0.25">
      <c r="A15" s="4" t="str">
        <f>'Product Catalogue'!C16</f>
        <v>Food Commodities</v>
      </c>
      <c r="B15" s="4" t="str">
        <f>'Product Catalogue'!D16</f>
        <v>Sugar</v>
      </c>
      <c r="C15" s="4" t="str">
        <f>'Product Catalogue'!E16</f>
        <v>Refined White Sugar</v>
      </c>
    </row>
    <row r="16" spans="1:3" x14ac:dyDescent="0.25">
      <c r="A16" s="4" t="str">
        <f>'Product Catalogue'!C19</f>
        <v>Food Commodities</v>
      </c>
      <c r="B16" s="4" t="str">
        <f>'Product Catalogue'!D19</f>
        <v>Sugar</v>
      </c>
      <c r="C16" s="4" t="str">
        <f>'Product Catalogue'!E19</f>
        <v>Raw Sugar</v>
      </c>
    </row>
    <row r="17" spans="1:3" x14ac:dyDescent="0.25">
      <c r="A17" s="4" t="str">
        <f>'Product Catalogue'!C20</f>
        <v>Food Commodities</v>
      </c>
      <c r="B17" s="4" t="str">
        <f>'Product Catalogue'!D20</f>
        <v>Rice</v>
      </c>
      <c r="C17" s="4" t="str">
        <f>'Product Catalogue'!E20</f>
        <v>Long Grain</v>
      </c>
    </row>
    <row r="18" spans="1:3" x14ac:dyDescent="0.25">
      <c r="A18" s="4" t="str">
        <f>'Product Catalogue'!C21</f>
        <v>Food Commodities</v>
      </c>
      <c r="B18" s="4" t="str">
        <f>'Product Catalogue'!D21</f>
        <v>Rice</v>
      </c>
      <c r="C18" s="4" t="str">
        <f>'Product Catalogue'!E21</f>
        <v>Parboiled Long Grain</v>
      </c>
    </row>
    <row r="19" spans="1:3" x14ac:dyDescent="0.25">
      <c r="A19" s="4" t="str">
        <f>'Product Catalogue'!C22</f>
        <v>Food Commodities</v>
      </c>
      <c r="B19" s="4" t="str">
        <f>'Product Catalogue'!D22</f>
        <v>Rice</v>
      </c>
      <c r="C19" s="4" t="str">
        <f>'Product Catalogue'!E22</f>
        <v>Basmati</v>
      </c>
    </row>
    <row r="20" spans="1:3" x14ac:dyDescent="0.25">
      <c r="A20" s="4" t="str">
        <f>'Product Catalogue'!C23</f>
        <v>Agricultural Products</v>
      </c>
      <c r="B20" s="4" t="str">
        <f>'Product Catalogue'!D23</f>
        <v>Cashew</v>
      </c>
      <c r="C20" s="4" t="str">
        <f>'Product Catalogue'!E23</f>
        <v>Raw Cashew Nuts</v>
      </c>
    </row>
    <row r="21" spans="1:3" x14ac:dyDescent="0.25">
      <c r="A21" s="4" t="str">
        <f>'Product Catalogue'!C25</f>
        <v>Agricultural Products</v>
      </c>
      <c r="B21" s="4" t="str">
        <f>'Product Catalogue'!D25</f>
        <v>Sesame</v>
      </c>
      <c r="C21" s="4" t="str">
        <f>'Product Catalogue'!E25</f>
        <v>Natural Sesame</v>
      </c>
    </row>
    <row r="22" spans="1:3" x14ac:dyDescent="0.25">
      <c r="A22" s="4" t="str">
        <f>'Product Catalogue'!C26</f>
        <v>Agricultural Products</v>
      </c>
      <c r="B22" s="4" t="str">
        <f>'Product Catalogue'!D26</f>
        <v>Sesame</v>
      </c>
      <c r="C22" s="4" t="str">
        <f>'Product Catalogue'!E26</f>
        <v>Hulled Sesame</v>
      </c>
    </row>
    <row r="23" spans="1:3" x14ac:dyDescent="0.25">
      <c r="A23" s="4" t="str">
        <f>'Product Catalogue'!C27</f>
        <v>Agricultural Products</v>
      </c>
      <c r="B23" s="4" t="str">
        <f>'Product Catalogue'!D27</f>
        <v>Coconut</v>
      </c>
      <c r="C23" s="4" t="str">
        <f>'Product Catalogue'!E27</f>
        <v>Dried Coconut</v>
      </c>
    </row>
    <row r="24" spans="1:3" x14ac:dyDescent="0.25">
      <c r="A24" s="4" t="str">
        <f>'Product Catalogue'!C28</f>
        <v>Agricultural Products</v>
      </c>
      <c r="B24" s="4" t="str">
        <f>'Product Catalogue'!D28</f>
        <v>Coconut</v>
      </c>
      <c r="C24" s="4" t="str">
        <f>'Product Catalogue'!E28</f>
        <v>Desiccated Coconut</v>
      </c>
    </row>
    <row r="25" spans="1:3" x14ac:dyDescent="0.25">
      <c r="A25" s="4" t="str">
        <f>'Product Catalogue'!C29</f>
        <v>Agricultural Products</v>
      </c>
      <c r="B25" s="4" t="str">
        <f>'Product Catalogue'!D29</f>
        <v>Cocoa</v>
      </c>
      <c r="C25" s="4" t="str">
        <f>'Product Catalogue'!E29</f>
        <v>Fermented Cocoa Beans</v>
      </c>
    </row>
    <row r="26" spans="1:3" x14ac:dyDescent="0.25">
      <c r="A26" s="4" t="str">
        <f>'Product Catalogue'!C31</f>
        <v>Agricultural Products</v>
      </c>
      <c r="B26" s="4" t="str">
        <f>'Product Catalogue'!D31</f>
        <v>Spices</v>
      </c>
      <c r="C26" s="4" t="str">
        <f>'Product Catalogue'!E31</f>
        <v>Whole Dried Ginger</v>
      </c>
    </row>
    <row r="27" spans="1:3" x14ac:dyDescent="0.25">
      <c r="A27" s="4" t="str">
        <f>'Product Catalogue'!C32</f>
        <v>Agricultural Products</v>
      </c>
      <c r="B27" s="4" t="str">
        <f>'Product Catalogue'!D32</f>
        <v>Spices</v>
      </c>
      <c r="C27" s="4" t="str">
        <f>'Product Catalogue'!E32</f>
        <v>Ginger Powder</v>
      </c>
    </row>
    <row r="28" spans="1:3" x14ac:dyDescent="0.25">
      <c r="A28" s="4" t="str">
        <f>'Product Catalogue'!C33</f>
        <v>Minerals &amp; Metals</v>
      </c>
      <c r="B28" s="4" t="str">
        <f>'Product Catalogue'!D33</f>
        <v>Gold</v>
      </c>
      <c r="C28" s="4" t="str">
        <f>'Product Catalogue'!E33</f>
        <v>Gold Bar</v>
      </c>
    </row>
    <row r="29" spans="1:3" x14ac:dyDescent="0.25">
      <c r="A29" s="4" t="str">
        <f>'Product Catalogue'!C34</f>
        <v>Minerals &amp; Metals</v>
      </c>
      <c r="B29" s="4" t="str">
        <f>'Product Catalogue'!D34</f>
        <v>Gold</v>
      </c>
      <c r="C29" s="4" t="str">
        <f>'Product Catalogue'!E34</f>
        <v>Gold Nugget</v>
      </c>
    </row>
    <row r="30" spans="1:3" x14ac:dyDescent="0.25">
      <c r="A30" s="4" t="str">
        <f>'Product Catalogue'!C35</f>
        <v>Minerals &amp; Metals</v>
      </c>
      <c r="B30" s="4" t="str">
        <f>'Product Catalogue'!D35</f>
        <v>Aluminium</v>
      </c>
      <c r="C30" s="4" t="str">
        <f>'Product Catalogue'!E35</f>
        <v>Aluminium Ingot</v>
      </c>
    </row>
    <row r="31" spans="1:3" x14ac:dyDescent="0.25">
      <c r="A31" s="4" t="str">
        <f>'Product Catalogue'!C36</f>
        <v>Minerals &amp; Metals</v>
      </c>
      <c r="B31" s="4" t="str">
        <f>'Product Catalogue'!D36</f>
        <v>Copper</v>
      </c>
      <c r="C31" s="4" t="str">
        <f>'Product Catalogue'!E36</f>
        <v>Copper Cathode</v>
      </c>
    </row>
    <row r="32" spans="1:3" x14ac:dyDescent="0.25">
      <c r="A32" s="4" t="str">
        <f>'Product Catalogue'!C37</f>
        <v>Packaging</v>
      </c>
      <c r="B32" s="4" t="str">
        <f>'Product Catalogue'!D37</f>
        <v>Bags</v>
      </c>
      <c r="C32" s="4" t="str">
        <f>'Product Catalogue'!E37</f>
        <v>Woven PP Bag</v>
      </c>
    </row>
    <row r="33" spans="1:3" x14ac:dyDescent="0.25">
      <c r="A33" s="4" t="str">
        <f>'Product Catalogue'!C38</f>
        <v>Packaging</v>
      </c>
      <c r="B33" s="4" t="str">
        <f>'Product Catalogue'!D38</f>
        <v>Bags</v>
      </c>
      <c r="C33" s="4" t="str">
        <f>'Product Catalogue'!E38</f>
        <v>Printed Woven PP Bag</v>
      </c>
    </row>
    <row r="34" spans="1:3" x14ac:dyDescent="0.25">
      <c r="A34" s="4" t="str">
        <f>'Product Catalogue'!C39</f>
        <v>Packaging</v>
      </c>
      <c r="B34" s="4" t="str">
        <f>'Product Catalogue'!D39</f>
        <v>Jumbo Bags</v>
      </c>
      <c r="C34" s="4" t="str">
        <f>'Product Catalogue'!E39</f>
        <v>FIBC Jumbo Bag</v>
      </c>
    </row>
    <row r="35" spans="1:3" x14ac:dyDescent="0.25">
      <c r="A35" s="4" t="str">
        <f>'Product Catalogue'!C41</f>
        <v>Industrial Materials</v>
      </c>
      <c r="B35" s="4" t="str">
        <f>'Product Catalogue'!D41</f>
        <v>Caustic Soda</v>
      </c>
      <c r="C35" s="4" t="str">
        <f>'Product Catalogue'!E41</f>
        <v>Caustic Soda Flakes</v>
      </c>
    </row>
    <row r="36" spans="1:3" x14ac:dyDescent="0.25">
      <c r="A36" s="4" t="str">
        <f>'Product Catalogue'!C42</f>
        <v>Industrial Materials</v>
      </c>
      <c r="B36" s="4" t="str">
        <f>'Product Catalogue'!D42</f>
        <v>Sodium Products</v>
      </c>
      <c r="C36" s="4" t="str">
        <f>'Product Catalogue'!E42</f>
        <v>Soda Ash Light</v>
      </c>
    </row>
    <row r="37" spans="1:3" x14ac:dyDescent="0.25">
      <c r="A37" s="4" t="str">
        <f>'Product Catalogue'!C43</f>
        <v>Industrial Materials</v>
      </c>
      <c r="B37" s="4" t="str">
        <f>'Product Catalogue'!D43</f>
        <v>Sodium Products</v>
      </c>
      <c r="C37" s="4" t="str">
        <f>'Product Catalogue'!E43</f>
        <v>Soda Ash Dense</v>
      </c>
    </row>
    <row r="38" spans="1:3" x14ac:dyDescent="0.25">
      <c r="A38" s="4" t="str">
        <f>'Product Catalogue'!C44</f>
        <v>Paper &amp; Pulp</v>
      </c>
      <c r="B38" s="4" t="str">
        <f>'Product Catalogue'!D44</f>
        <v>Wood Pulp</v>
      </c>
      <c r="C38" s="4" t="str">
        <f>'Product Catalogue'!E44</f>
        <v>Bleached Kraft Pulp</v>
      </c>
    </row>
    <row r="39" spans="1:3" x14ac:dyDescent="0.25">
      <c r="A39" s="4" t="str">
        <f>'Product Catalogue'!C45</f>
        <v>Paper &amp; Pulp</v>
      </c>
      <c r="B39" s="4" t="str">
        <f>'Product Catalogue'!D45</f>
        <v>Wood Pulp</v>
      </c>
      <c r="C39" s="4" t="str">
        <f>'Product Catalogue'!E45</f>
        <v>Hardwood Kraft Pulp</v>
      </c>
    </row>
    <row r="40" spans="1:3" x14ac:dyDescent="0.25">
      <c r="A40" s="4" t="str">
        <f>'Product Catalogue'!C46</f>
        <v>Textiles</v>
      </c>
      <c r="B40" s="4" t="str">
        <f>'Product Catalogue'!D46</f>
        <v>Cotton</v>
      </c>
      <c r="C40" s="4" t="str">
        <f>'Product Catalogue'!E46</f>
        <v>Raw Cotton</v>
      </c>
    </row>
    <row r="41" spans="1:3" x14ac:dyDescent="0.25">
      <c r="A41" s="4" t="str">
        <f>'Product Catalogue'!C47</f>
        <v>Textiles</v>
      </c>
      <c r="B41" s="4" t="str">
        <f>'Product Catalogue'!D47</f>
        <v>Cotton</v>
      </c>
      <c r="C41" s="4" t="str">
        <f>'Product Catalogue'!E47</f>
        <v>Cotton Lint</v>
      </c>
    </row>
    <row r="42" spans="1:3" x14ac:dyDescent="0.25">
      <c r="A42" s="4" t="str">
        <f>'Product Catalogue'!C48</f>
        <v>Food Commodities</v>
      </c>
      <c r="B42" s="4" t="str">
        <f>'Product Catalogue'!D48</f>
        <v>Grains</v>
      </c>
      <c r="C42" s="4" t="str">
        <f>'Product Catalogue'!E48</f>
        <v>Yellow Maize</v>
      </c>
    </row>
    <row r="43" spans="1:3" x14ac:dyDescent="0.25">
      <c r="A43" s="4" t="str">
        <f>'Product Catalogue'!C50</f>
        <v>Food Commodities</v>
      </c>
      <c r="B43" s="4" t="str">
        <f>'Product Catalogue'!D50</f>
        <v>Grains</v>
      </c>
      <c r="C43" s="4" t="str">
        <f>'Product Catalogue'!E50</f>
        <v>Milling Wheat</v>
      </c>
    </row>
    <row r="44" spans="1:3" x14ac:dyDescent="0.25">
      <c r="A44" s="4" t="str">
        <f>'Product Catalogue'!C51</f>
        <v>Food Commodities</v>
      </c>
      <c r="B44" s="4" t="str">
        <f>'Product Catalogue'!D51</f>
        <v>Grains</v>
      </c>
      <c r="C44" s="4" t="str">
        <f>'Product Catalogue'!E51</f>
        <v>Wheat Flour</v>
      </c>
    </row>
    <row r="45" spans="1:3" x14ac:dyDescent="0.25">
      <c r="A45" s="4" t="str">
        <f>'Product Catalogue'!C52</f>
        <v>Food Commodities</v>
      </c>
      <c r="B45" s="4" t="str">
        <f>'Product Catalogue'!D52</f>
        <v>Legumes</v>
      </c>
      <c r="C45" s="4" t="str">
        <f>'Product Catalogue'!E52</f>
        <v>Soybeans</v>
      </c>
    </row>
  </sheetData>
  <autoFilter ref="A1:C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'Product Catalogue'!$C$2:$E$2</xm:f>
          </x14:formula1>
          <xm:sqref>A1:C1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view="pageBreakPreview" zoomScale="120" zoomScaleNormal="200" zoomScaleSheetLayoutView="120" workbookViewId="0">
      <pane ySplit="2" topLeftCell="A3" activePane="bottomLeft" state="frozen"/>
      <selection pane="bottomLeft" activeCell="A9" sqref="A9"/>
    </sheetView>
  </sheetViews>
  <sheetFormatPr defaultRowHeight="15" x14ac:dyDescent="0.25"/>
  <cols>
    <col min="1" max="1" width="10.28515625" customWidth="1"/>
    <col min="2" max="2" width="26.5703125" customWidth="1"/>
    <col min="3" max="3" width="13.42578125" customWidth="1"/>
    <col min="4" max="4" width="21.7109375" customWidth="1"/>
  </cols>
  <sheetData>
    <row r="1" spans="1:4" x14ac:dyDescent="0.25">
      <c r="A1" s="6" t="s">
        <v>1</v>
      </c>
      <c r="B1" s="6" t="s">
        <v>246</v>
      </c>
      <c r="C1" s="6" t="s">
        <v>247</v>
      </c>
      <c r="D1" s="6" t="s">
        <v>248</v>
      </c>
    </row>
    <row r="2" spans="1:4" x14ac:dyDescent="0.25">
      <c r="A2" s="4" t="str">
        <f>'Product Catalogue'!F3</f>
        <v>Supplier A</v>
      </c>
      <c r="B2" s="4" t="str">
        <f>'Product Catalogue'!B3</f>
        <v>Palm Kernel Shells – Standard</v>
      </c>
      <c r="C2" s="4" t="str">
        <f>'Product Catalogue'!A3</f>
        <v>BIO-PKS-001</v>
      </c>
      <c r="D2" s="7" t="str">
        <f>'Product Catalogue'!C3</f>
        <v>Biomass</v>
      </c>
    </row>
    <row r="3" spans="1:4" x14ac:dyDescent="0.25">
      <c r="A3" s="4" t="str">
        <f>'Product Catalogue'!F4</f>
        <v>Supplier B</v>
      </c>
      <c r="B3" s="4" t="str">
        <f>'Product Catalogue'!B4</f>
        <v>Palm Kernel Shells – Premium</v>
      </c>
      <c r="C3" s="4" t="str">
        <f>'Product Catalogue'!A4</f>
        <v>BIO-PKS-002</v>
      </c>
      <c r="D3" s="7" t="str">
        <f>'Product Catalogue'!C4</f>
        <v>Biomass</v>
      </c>
    </row>
    <row r="4" spans="1:4" x14ac:dyDescent="0.25">
      <c r="A4" s="4" t="str">
        <f>'Product Catalogue'!F5</f>
        <v>Supplier C</v>
      </c>
      <c r="B4" s="4" t="str">
        <f>'Product Catalogue'!B5</f>
        <v>Industrial Wood Pellets</v>
      </c>
      <c r="C4" s="4" t="str">
        <f>'Product Catalogue'!A5</f>
        <v>BIO-WOD-001</v>
      </c>
      <c r="D4" s="7" t="str">
        <f>'Product Catalogue'!C5</f>
        <v>Biomass</v>
      </c>
    </row>
    <row r="5" spans="1:4" x14ac:dyDescent="0.25">
      <c r="A5" s="4" t="str">
        <f>'Product Catalogue'!F6</f>
        <v>Supplier D</v>
      </c>
      <c r="B5" s="4" t="str">
        <f>'Product Catalogue'!B6</f>
        <v>Premium Wood Pellets</v>
      </c>
      <c r="C5" s="4" t="str">
        <f>'Product Catalogue'!A6</f>
        <v>BIO-WOD-002</v>
      </c>
      <c r="D5" s="7" t="str">
        <f>'Product Catalogue'!C6</f>
        <v>Biomass</v>
      </c>
    </row>
    <row r="6" spans="1:4" x14ac:dyDescent="0.25">
      <c r="A6" s="4" t="str">
        <f>'Product Catalogue'!F7</f>
        <v>Supplier A</v>
      </c>
      <c r="B6" s="4" t="str">
        <f>'Product Catalogue'!B7</f>
        <v>Dry Sawdust</v>
      </c>
      <c r="C6" s="4" t="str">
        <f>'Product Catalogue'!A7</f>
        <v>BIO-SAW-001</v>
      </c>
      <c r="D6" s="7" t="str">
        <f>'Product Catalogue'!C7</f>
        <v>Biomass</v>
      </c>
    </row>
    <row r="7" spans="1:4" x14ac:dyDescent="0.25">
      <c r="A7" s="4" t="str">
        <f>'Product Catalogue'!F8</f>
        <v>Supplier E</v>
      </c>
      <c r="B7" s="4" t="str">
        <f>'Product Catalogue'!B8</f>
        <v>Biomass Briquettes</v>
      </c>
      <c r="C7" s="4" t="str">
        <f>'Product Catalogue'!A8</f>
        <v>BIO-BRI-001</v>
      </c>
      <c r="D7" s="7" t="str">
        <f>'Product Catalogue'!C8</f>
        <v>Biomass</v>
      </c>
    </row>
    <row r="8" spans="1:4" x14ac:dyDescent="0.25">
      <c r="A8" s="4" t="str">
        <f>'Product Catalogue'!F9</f>
        <v>Supplier F</v>
      </c>
      <c r="B8" s="4" t="str">
        <f>'Product Catalogue'!B9</f>
        <v>Crude Sunflower Oil</v>
      </c>
      <c r="C8" s="4" t="str">
        <f>'Product Catalogue'!A9</f>
        <v>OIL-SUN-001</v>
      </c>
      <c r="D8" s="7" t="str">
        <f>'Product Catalogue'!C9</f>
        <v>Oils &amp; Fats</v>
      </c>
    </row>
    <row r="9" spans="1:4" x14ac:dyDescent="0.25">
      <c r="A9" s="4" t="str">
        <f>'Product Catalogue'!F10</f>
        <v>Supplier G</v>
      </c>
      <c r="B9" s="4" t="str">
        <f>'Product Catalogue'!B10</f>
        <v>Refined Sunflower Oil</v>
      </c>
      <c r="C9" s="4" t="str">
        <f>'Product Catalogue'!A10</f>
        <v>OIL-SUN-002</v>
      </c>
      <c r="D9" s="7" t="str">
        <f>'Product Catalogue'!C10</f>
        <v>Oils &amp; Fats</v>
      </c>
    </row>
    <row r="10" spans="1:4" x14ac:dyDescent="0.25">
      <c r="A10" s="4" t="str">
        <f>'Product Catalogue'!F11</f>
        <v>Supplier H</v>
      </c>
      <c r="B10" s="4" t="str">
        <f>'Product Catalogue'!B11</f>
        <v>Crude Soybean Oil</v>
      </c>
      <c r="C10" s="4" t="str">
        <f>'Product Catalogue'!A11</f>
        <v>OIL-SOY-001</v>
      </c>
      <c r="D10" s="7" t="str">
        <f>'Product Catalogue'!C11</f>
        <v>Oils &amp; Fats</v>
      </c>
    </row>
    <row r="11" spans="1:4" x14ac:dyDescent="0.25">
      <c r="A11" s="4" t="str">
        <f>'Product Catalogue'!F12</f>
        <v>Supplier I</v>
      </c>
      <c r="B11" s="4" t="str">
        <f>'Product Catalogue'!B12</f>
        <v>Crude Palm Oil</v>
      </c>
      <c r="C11" s="4" t="str">
        <f>'Product Catalogue'!A12</f>
        <v>OIL-PAL-001</v>
      </c>
      <c r="D11" s="7" t="str">
        <f>'Product Catalogue'!C12</f>
        <v>Oils &amp; Fats</v>
      </c>
    </row>
    <row r="12" spans="1:4" x14ac:dyDescent="0.25">
      <c r="A12" s="4" t="str">
        <f>'Product Catalogue'!F13</f>
        <v>Supplier J</v>
      </c>
      <c r="B12" s="4" t="str">
        <f>'Product Catalogue'!B13</f>
        <v>Natural Shea Butter</v>
      </c>
      <c r="C12" s="4" t="str">
        <f>'Product Catalogue'!A13</f>
        <v>OIL-SHE-001</v>
      </c>
      <c r="D12" s="7" t="str">
        <f>'Product Catalogue'!C13</f>
        <v>Oils &amp; Fats</v>
      </c>
    </row>
    <row r="13" spans="1:4" x14ac:dyDescent="0.25">
      <c r="A13" s="4" t="str">
        <f>'Product Catalogue'!F14</f>
        <v>Supplier C</v>
      </c>
      <c r="B13" s="4" t="str">
        <f>'Product Catalogue'!B14</f>
        <v>Refined Shea Butter</v>
      </c>
      <c r="C13" s="4" t="str">
        <f>'Product Catalogue'!A14</f>
        <v>OIL-SHE-002</v>
      </c>
      <c r="D13" s="7" t="str">
        <f>'Product Catalogue'!C14</f>
        <v>Oils &amp; Fats</v>
      </c>
    </row>
    <row r="14" spans="1:4" x14ac:dyDescent="0.25">
      <c r="A14" s="4" t="str">
        <f>'Product Catalogue'!F15</f>
        <v>Supplier D</v>
      </c>
      <c r="B14" s="4" t="str">
        <f>'Product Catalogue'!B15</f>
        <v>Crude Coconut Oil</v>
      </c>
      <c r="C14" s="4" t="str">
        <f>'Product Catalogue'!A15</f>
        <v>OIL-COC-001</v>
      </c>
      <c r="D14" s="7" t="str">
        <f>'Product Catalogue'!C15</f>
        <v>Oils &amp; Fats</v>
      </c>
    </row>
    <row r="15" spans="1:4" x14ac:dyDescent="0.25">
      <c r="A15" s="4" t="str">
        <f>'Product Catalogue'!F16</f>
        <v>Supplier E</v>
      </c>
      <c r="B15" s="4" t="str">
        <f>'Product Catalogue'!B16</f>
        <v>ICUMSA 45 Sugar</v>
      </c>
      <c r="C15" s="4" t="str">
        <f>'Product Catalogue'!A16</f>
        <v>SUG-ICU-001</v>
      </c>
      <c r="D15" s="7" t="str">
        <f>'Product Catalogue'!C16</f>
        <v>Food Commodities</v>
      </c>
    </row>
    <row r="16" spans="1:4" x14ac:dyDescent="0.25">
      <c r="A16" s="4" t="str">
        <f>'Product Catalogue'!F17</f>
        <v>Supplier F</v>
      </c>
      <c r="B16" s="4" t="str">
        <f>'Product Catalogue'!B17</f>
        <v>Refined White Sugar IC45</v>
      </c>
      <c r="C16" s="4" t="str">
        <f>'Product Catalogue'!A17</f>
        <v>SUG-ICU-002</v>
      </c>
      <c r="D16" s="7" t="str">
        <f>'Product Catalogue'!C17</f>
        <v>Food Commodities</v>
      </c>
    </row>
    <row r="17" spans="1:4" x14ac:dyDescent="0.25">
      <c r="A17" s="4" t="str">
        <f>'Product Catalogue'!F18</f>
        <v>Supplier G</v>
      </c>
      <c r="B17" s="4" t="str">
        <f>'Product Catalogue'!B18</f>
        <v>ICUMSA 100 Sugar</v>
      </c>
      <c r="C17" s="4" t="str">
        <f>'Product Catalogue'!A18</f>
        <v>SUG-ICU-003</v>
      </c>
      <c r="D17" s="7" t="str">
        <f>'Product Catalogue'!C18</f>
        <v>Food Commodities</v>
      </c>
    </row>
    <row r="18" spans="1:4" x14ac:dyDescent="0.25">
      <c r="A18" s="4" t="str">
        <f>'Product Catalogue'!F19</f>
        <v>Supplier H</v>
      </c>
      <c r="B18" s="4" t="str">
        <f>'Product Catalogue'!B19</f>
        <v>Raw Cane Sugar</v>
      </c>
      <c r="C18" s="4" t="str">
        <f>'Product Catalogue'!A19</f>
        <v>SUG-RAW-001</v>
      </c>
      <c r="D18" s="7" t="str">
        <f>'Product Catalogue'!C19</f>
        <v>Food Commodities</v>
      </c>
    </row>
    <row r="19" spans="1:4" x14ac:dyDescent="0.25">
      <c r="A19" s="4" t="str">
        <f>'Product Catalogue'!F20</f>
        <v>Supplier I</v>
      </c>
      <c r="B19" s="4" t="str">
        <f>'Product Catalogue'!B20</f>
        <v>Long Grain White Rice</v>
      </c>
      <c r="C19" s="4" t="str">
        <f>'Product Catalogue'!A20</f>
        <v>RIC-WHI-001</v>
      </c>
      <c r="D19" s="7" t="str">
        <f>'Product Catalogue'!C20</f>
        <v>Food Commodities</v>
      </c>
    </row>
    <row r="20" spans="1:4" x14ac:dyDescent="0.25">
      <c r="A20" s="4" t="str">
        <f>'Product Catalogue'!F21</f>
        <v>Supplier J</v>
      </c>
      <c r="B20" s="4" t="str">
        <f>'Product Catalogue'!B21</f>
        <v>Parboiled Long Grain Rice</v>
      </c>
      <c r="C20" s="4" t="str">
        <f>'Product Catalogue'!A21</f>
        <v>RIC-WHI-002</v>
      </c>
      <c r="D20" s="7" t="str">
        <f>'Product Catalogue'!C21</f>
        <v>Food Commodities</v>
      </c>
    </row>
    <row r="21" spans="1:4" x14ac:dyDescent="0.25">
      <c r="A21" s="4" t="str">
        <f>'Product Catalogue'!F22</f>
        <v>Supplier C</v>
      </c>
      <c r="B21" s="4" t="str">
        <f>'Product Catalogue'!B22</f>
        <v>Basmati Rice</v>
      </c>
      <c r="C21" s="4" t="str">
        <f>'Product Catalogue'!A22</f>
        <v>RIC-BAS-001</v>
      </c>
      <c r="D21" s="7" t="str">
        <f>'Product Catalogue'!C22</f>
        <v>Food Commodities</v>
      </c>
    </row>
    <row r="22" spans="1:4" x14ac:dyDescent="0.25">
      <c r="A22" s="4" t="str">
        <f>'Product Catalogue'!F23</f>
        <v>Supplier A</v>
      </c>
      <c r="B22" s="4" t="str">
        <f>'Product Catalogue'!B23</f>
        <v>Raw Cashew Nuts</v>
      </c>
      <c r="C22" s="4" t="str">
        <f>'Product Catalogue'!A23</f>
        <v>AGR-CAS-001</v>
      </c>
      <c r="D22" s="7" t="str">
        <f>'Product Catalogue'!C23</f>
        <v>Agricultural Products</v>
      </c>
    </row>
    <row r="23" spans="1:4" x14ac:dyDescent="0.25">
      <c r="A23" s="4" t="str">
        <f>'Product Catalogue'!F24</f>
        <v>Supplier B</v>
      </c>
      <c r="B23" s="4" t="str">
        <f>'Product Catalogue'!B24</f>
        <v>Raw Cashew Nuts</v>
      </c>
      <c r="C23" s="4" t="str">
        <f>'Product Catalogue'!A24</f>
        <v>AGR-CAS-002</v>
      </c>
      <c r="D23" s="7" t="str">
        <f>'Product Catalogue'!C24</f>
        <v>Agricultural Products</v>
      </c>
    </row>
    <row r="24" spans="1:4" x14ac:dyDescent="0.25">
      <c r="A24" s="4" t="str">
        <f>'Product Catalogue'!F25</f>
        <v>Supplier D</v>
      </c>
      <c r="B24" s="4" t="str">
        <f>'Product Catalogue'!B25</f>
        <v>Natural Sesame Seeds</v>
      </c>
      <c r="C24" s="4" t="str">
        <f>'Product Catalogue'!A25</f>
        <v>AGR-SES-001</v>
      </c>
      <c r="D24" s="7" t="str">
        <f>'Product Catalogue'!C25</f>
        <v>Agricultural Products</v>
      </c>
    </row>
    <row r="25" spans="1:4" x14ac:dyDescent="0.25">
      <c r="A25" s="4" t="str">
        <f>'Product Catalogue'!F26</f>
        <v>Supplier E</v>
      </c>
      <c r="B25" s="4" t="str">
        <f>'Product Catalogue'!B26</f>
        <v>Hulled Sesame Seeds</v>
      </c>
      <c r="C25" s="4" t="str">
        <f>'Product Catalogue'!A26</f>
        <v>AGR-SES-002</v>
      </c>
      <c r="D25" s="7" t="str">
        <f>'Product Catalogue'!C26</f>
        <v>Agricultural Products</v>
      </c>
    </row>
    <row r="26" spans="1:4" x14ac:dyDescent="0.25">
      <c r="A26" s="4" t="str">
        <f>'Product Catalogue'!F27</f>
        <v>Supplier F</v>
      </c>
      <c r="B26" s="4" t="str">
        <f>'Product Catalogue'!B27</f>
        <v>Dried Coconut Chips</v>
      </c>
      <c r="C26" s="4" t="str">
        <f>'Product Catalogue'!A27</f>
        <v>AGR-COC-001</v>
      </c>
      <c r="D26" s="7" t="str">
        <f>'Product Catalogue'!C27</f>
        <v>Agricultural Products</v>
      </c>
    </row>
    <row r="27" spans="1:4" x14ac:dyDescent="0.25">
      <c r="A27" s="4" t="str">
        <f>'Product Catalogue'!F28</f>
        <v>Supplier G</v>
      </c>
      <c r="B27" s="4" t="str">
        <f>'Product Catalogue'!B28</f>
        <v>Desiccated Coconut</v>
      </c>
      <c r="C27" s="4" t="str">
        <f>'Product Catalogue'!A28</f>
        <v>AGR-COC-002</v>
      </c>
      <c r="D27" s="7" t="str">
        <f>'Product Catalogue'!C28</f>
        <v>Agricultural Products</v>
      </c>
    </row>
    <row r="28" spans="1:4" x14ac:dyDescent="0.25">
      <c r="A28" s="4" t="str">
        <f>'Product Catalogue'!F29</f>
        <v>Supplier H</v>
      </c>
      <c r="B28" s="4" t="str">
        <f>'Product Catalogue'!B29</f>
        <v>Cocoa Beans</v>
      </c>
      <c r="C28" s="4" t="str">
        <f>'Product Catalogue'!A29</f>
        <v>AGR-COA-001</v>
      </c>
      <c r="D28" s="7" t="str">
        <f>'Product Catalogue'!C29</f>
        <v>Agricultural Products</v>
      </c>
    </row>
    <row r="29" spans="1:4" x14ac:dyDescent="0.25">
      <c r="A29" s="4" t="str">
        <f>'Product Catalogue'!F30</f>
        <v>Supplier I</v>
      </c>
      <c r="B29" s="4" t="str">
        <f>'Product Catalogue'!B30</f>
        <v>Cocoa Beans</v>
      </c>
      <c r="C29" s="4" t="str">
        <f>'Product Catalogue'!A30</f>
        <v>AGR-COA-002</v>
      </c>
      <c r="D29" s="7" t="str">
        <f>'Product Catalogue'!C30</f>
        <v>Agricultural Products</v>
      </c>
    </row>
    <row r="30" spans="1:4" x14ac:dyDescent="0.25">
      <c r="A30" s="4" t="str">
        <f>'Product Catalogue'!F31</f>
        <v>Supplier J</v>
      </c>
      <c r="B30" s="4" t="str">
        <f>'Product Catalogue'!B31</f>
        <v>Dried Ginger</v>
      </c>
      <c r="C30" s="4" t="str">
        <f>'Product Catalogue'!A31</f>
        <v>AGR-GIN-001</v>
      </c>
      <c r="D30" s="7" t="str">
        <f>'Product Catalogue'!C31</f>
        <v>Agricultural Products</v>
      </c>
    </row>
    <row r="31" spans="1:4" x14ac:dyDescent="0.25">
      <c r="A31" s="4" t="str">
        <f>'Product Catalogue'!F32</f>
        <v>Supplier A</v>
      </c>
      <c r="B31" s="4" t="str">
        <f>'Product Catalogue'!B32</f>
        <v>Ginger Powder</v>
      </c>
      <c r="C31" s="4" t="str">
        <f>'Product Catalogue'!A32</f>
        <v>AGR-GIN-002</v>
      </c>
      <c r="D31" s="7" t="str">
        <f>'Product Catalogue'!C32</f>
        <v>Agricultural Products</v>
      </c>
    </row>
    <row r="32" spans="1:4" x14ac:dyDescent="0.25">
      <c r="A32" s="4" t="str">
        <f>'Product Catalogue'!F33</f>
        <v>Supplier B</v>
      </c>
      <c r="B32" s="4" t="str">
        <f>'Product Catalogue'!B33</f>
        <v>Gold Bars</v>
      </c>
      <c r="C32" s="4" t="str">
        <f>'Product Catalogue'!A33</f>
        <v>MIN-GOL-001</v>
      </c>
      <c r="D32" s="7" t="str">
        <f>'Product Catalogue'!C33</f>
        <v>Minerals &amp; Metals</v>
      </c>
    </row>
    <row r="33" spans="1:4" x14ac:dyDescent="0.25">
      <c r="A33" s="4" t="str">
        <f>'Product Catalogue'!F34</f>
        <v>Supplier C</v>
      </c>
      <c r="B33" s="4" t="str">
        <f>'Product Catalogue'!B34</f>
        <v>Gold Nuggets</v>
      </c>
      <c r="C33" s="4" t="str">
        <f>'Product Catalogue'!A34</f>
        <v>MIN-GOL-002</v>
      </c>
      <c r="D33" s="7" t="str">
        <f>'Product Catalogue'!C34</f>
        <v>Minerals &amp; Metals</v>
      </c>
    </row>
    <row r="34" spans="1:4" x14ac:dyDescent="0.25">
      <c r="A34" s="4" t="str">
        <f>'Product Catalogue'!F35</f>
        <v>Supplier D</v>
      </c>
      <c r="B34" s="4" t="str">
        <f>'Product Catalogue'!B35</f>
        <v>Aluminium Ingots</v>
      </c>
      <c r="C34" s="4" t="str">
        <f>'Product Catalogue'!A35</f>
        <v>MIN-ALU-001</v>
      </c>
      <c r="D34" s="7" t="str">
        <f>'Product Catalogue'!C35</f>
        <v>Minerals &amp; Metals</v>
      </c>
    </row>
    <row r="35" spans="1:4" x14ac:dyDescent="0.25">
      <c r="A35" s="4" t="str">
        <f>'Product Catalogue'!F36</f>
        <v>Supplier E</v>
      </c>
      <c r="B35" s="4" t="str">
        <f>'Product Catalogue'!B36</f>
        <v>Copper Cathodes</v>
      </c>
      <c r="C35" s="4" t="str">
        <f>'Product Catalogue'!A36</f>
        <v>MIN-COP-001</v>
      </c>
      <c r="D35" s="7" t="str">
        <f>'Product Catalogue'!C36</f>
        <v>Minerals &amp; Metals</v>
      </c>
    </row>
    <row r="36" spans="1:4" x14ac:dyDescent="0.25">
      <c r="A36" s="4" t="str">
        <f>'Product Catalogue'!F37</f>
        <v>Supplier F</v>
      </c>
      <c r="B36" s="4" t="str">
        <f>'Product Catalogue'!B37</f>
        <v>PP Woven Bags</v>
      </c>
      <c r="C36" s="4" t="str">
        <f>'Product Catalogue'!A37</f>
        <v>PAC-BAG-001</v>
      </c>
      <c r="D36" s="7" t="str">
        <f>'Product Catalogue'!C37</f>
        <v>Packaging</v>
      </c>
    </row>
    <row r="37" spans="1:4" x14ac:dyDescent="0.25">
      <c r="A37" s="4" t="str">
        <f>'Product Catalogue'!F38</f>
        <v>Supplier G</v>
      </c>
      <c r="B37" s="4" t="str">
        <f>'Product Catalogue'!B38</f>
        <v>PP Woven Bags</v>
      </c>
      <c r="C37" s="4" t="str">
        <f>'Product Catalogue'!A38</f>
        <v>PAC-BAG-002</v>
      </c>
      <c r="D37" s="7" t="str">
        <f>'Product Catalogue'!C38</f>
        <v>Packaging</v>
      </c>
    </row>
    <row r="38" spans="1:4" x14ac:dyDescent="0.25">
      <c r="A38" s="4" t="str">
        <f>'Product Catalogue'!F39</f>
        <v>Supplier H</v>
      </c>
      <c r="B38" s="4" t="str">
        <f>'Product Catalogue'!B39</f>
        <v>FIBC Jumbo Bag</v>
      </c>
      <c r="C38" s="4" t="str">
        <f>'Product Catalogue'!A39</f>
        <v>PAC-JUM-001</v>
      </c>
      <c r="D38" s="7" t="str">
        <f>'Product Catalogue'!C39</f>
        <v>Packaging</v>
      </c>
    </row>
    <row r="39" spans="1:4" x14ac:dyDescent="0.25">
      <c r="A39" s="4" t="str">
        <f>'Product Catalogue'!F40</f>
        <v>Supplier I</v>
      </c>
      <c r="B39" s="4" t="str">
        <f>'Product Catalogue'!B40</f>
        <v>FIBC Big Bag</v>
      </c>
      <c r="C39" s="4" t="str">
        <f>'Product Catalogue'!A40</f>
        <v>PAC-JUM-002</v>
      </c>
      <c r="D39" s="7" t="str">
        <f>'Product Catalogue'!C40</f>
        <v>Packaging</v>
      </c>
    </row>
    <row r="40" spans="1:4" x14ac:dyDescent="0.25">
      <c r="A40" s="4" t="str">
        <f>'Product Catalogue'!F41</f>
        <v>Supplier J</v>
      </c>
      <c r="B40" s="4" t="str">
        <f>'Product Catalogue'!B41</f>
        <v>Caustic Soda Flakes</v>
      </c>
      <c r="C40" s="4" t="str">
        <f>'Product Catalogue'!A41</f>
        <v>CHE-CAU-001</v>
      </c>
      <c r="D40" s="7" t="str">
        <f>'Product Catalogue'!C41</f>
        <v>Industrial Materials</v>
      </c>
    </row>
    <row r="41" spans="1:4" x14ac:dyDescent="0.25">
      <c r="A41" s="4" t="str">
        <f>'Product Catalogue'!F42</f>
        <v>Supplier A</v>
      </c>
      <c r="B41" s="4" t="str">
        <f>'Product Catalogue'!B42</f>
        <v>Sodium Carbonate Light</v>
      </c>
      <c r="C41" s="4" t="str">
        <f>'Product Catalogue'!A42</f>
        <v>CHE-SOD-001</v>
      </c>
      <c r="D41" s="7" t="str">
        <f>'Product Catalogue'!C42</f>
        <v>Industrial Materials</v>
      </c>
    </row>
    <row r="42" spans="1:4" x14ac:dyDescent="0.25">
      <c r="A42" s="4" t="str">
        <f>'Product Catalogue'!F43</f>
        <v>Supplier B</v>
      </c>
      <c r="B42" s="4" t="str">
        <f>'Product Catalogue'!B43</f>
        <v>Soda Ash Dense</v>
      </c>
      <c r="C42" s="4" t="str">
        <f>'Product Catalogue'!A43</f>
        <v>CHE-SOD-002</v>
      </c>
      <c r="D42" s="7" t="str">
        <f>'Product Catalogue'!C43</f>
        <v>Industrial Materials</v>
      </c>
    </row>
    <row r="43" spans="1:4" x14ac:dyDescent="0.25">
      <c r="A43" s="4" t="str">
        <f>'Product Catalogue'!F44</f>
        <v>Supplier C</v>
      </c>
      <c r="B43" s="4" t="str">
        <f>'Product Catalogue'!B44</f>
        <v>Bleached Kraft Pulp</v>
      </c>
      <c r="C43" s="4" t="str">
        <f>'Product Catalogue'!A44</f>
        <v>PUL-WOD-001</v>
      </c>
      <c r="D43" s="7" t="str">
        <f>'Product Catalogue'!C44</f>
        <v>Paper &amp; Pulp</v>
      </c>
    </row>
    <row r="44" spans="1:4" x14ac:dyDescent="0.25">
      <c r="A44" s="4" t="str">
        <f>'Product Catalogue'!F45</f>
        <v>Supplier D</v>
      </c>
      <c r="B44" s="4" t="str">
        <f>'Product Catalogue'!B45</f>
        <v>Hardwood Kraft Pulp</v>
      </c>
      <c r="C44" s="4" t="str">
        <f>'Product Catalogue'!A45</f>
        <v>PUL-WOD-002</v>
      </c>
      <c r="D44" s="7" t="str">
        <f>'Product Catalogue'!C45</f>
        <v>Paper &amp; Pulp</v>
      </c>
    </row>
    <row r="45" spans="1:4" x14ac:dyDescent="0.25">
      <c r="A45" s="4" t="str">
        <f>'Product Catalogue'!F46</f>
        <v>Supplier E</v>
      </c>
      <c r="B45" s="4" t="str">
        <f>'Product Catalogue'!B46</f>
        <v>Raw Cotton Bales</v>
      </c>
      <c r="C45" s="4" t="str">
        <f>'Product Catalogue'!A46</f>
        <v>TEX-COT-001</v>
      </c>
      <c r="D45" s="7" t="str">
        <f>'Product Catalogue'!C46</f>
        <v>Textiles</v>
      </c>
    </row>
    <row r="46" spans="1:4" x14ac:dyDescent="0.25">
      <c r="A46" s="4" t="str">
        <f>'Product Catalogue'!F47</f>
        <v>Supplier F</v>
      </c>
      <c r="B46" s="4" t="str">
        <f>'Product Catalogue'!B47</f>
        <v>Cotton Lint</v>
      </c>
      <c r="C46" s="4" t="str">
        <f>'Product Catalogue'!A47</f>
        <v>TEX-COT-002</v>
      </c>
      <c r="D46" s="7" t="str">
        <f>'Product Catalogue'!C47</f>
        <v>Textiles</v>
      </c>
    </row>
    <row r="47" spans="1:4" x14ac:dyDescent="0.25">
      <c r="A47" s="4" t="str">
        <f>'Product Catalogue'!F48</f>
        <v>Supplier G</v>
      </c>
      <c r="B47" s="4" t="str">
        <f>'Product Catalogue'!B48</f>
        <v>Maize</v>
      </c>
      <c r="C47" s="4" t="str">
        <f>'Product Catalogue'!A48</f>
        <v>GRA-MAI-001</v>
      </c>
      <c r="D47" s="7" t="str">
        <f>'Product Catalogue'!C48</f>
        <v>Food Commodities</v>
      </c>
    </row>
    <row r="48" spans="1:4" x14ac:dyDescent="0.25">
      <c r="A48" s="4" t="str">
        <f>'Product Catalogue'!F49</f>
        <v>Supplier H</v>
      </c>
      <c r="B48" s="4" t="str">
        <f>'Product Catalogue'!B49</f>
        <v>Yellow Corn</v>
      </c>
      <c r="C48" s="4" t="str">
        <f>'Product Catalogue'!A49</f>
        <v>GRA-MAI-002</v>
      </c>
      <c r="D48" s="7" t="str">
        <f>'Product Catalogue'!C49</f>
        <v>Food Commodities</v>
      </c>
    </row>
    <row r="49" spans="1:4" x14ac:dyDescent="0.25">
      <c r="A49" s="4" t="str">
        <f>'Product Catalogue'!F50</f>
        <v>Supplier I</v>
      </c>
      <c r="B49" s="4" t="str">
        <f>'Product Catalogue'!B50</f>
        <v>Wheat</v>
      </c>
      <c r="C49" s="4" t="str">
        <f>'Product Catalogue'!A50</f>
        <v>GRA-WHE-001</v>
      </c>
      <c r="D49" s="7" t="str">
        <f>'Product Catalogue'!C50</f>
        <v>Food Commodities</v>
      </c>
    </row>
    <row r="50" spans="1:4" x14ac:dyDescent="0.25">
      <c r="A50" s="4" t="str">
        <f>'Product Catalogue'!F51</f>
        <v>Supplier J</v>
      </c>
      <c r="B50" s="4" t="str">
        <f>'Product Catalogue'!B51</f>
        <v>Wheat Flour</v>
      </c>
      <c r="C50" s="4" t="str">
        <f>'Product Catalogue'!A51</f>
        <v>GRA-WHE-002</v>
      </c>
      <c r="D50" s="7" t="str">
        <f>'Product Catalogue'!C51</f>
        <v>Food Commodities</v>
      </c>
    </row>
    <row r="51" spans="1:4" x14ac:dyDescent="0.25">
      <c r="A51" s="4" t="str">
        <f>'Product Catalogue'!F52</f>
        <v>Supplier A</v>
      </c>
      <c r="B51" s="4" t="str">
        <f>'Product Catalogue'!B52</f>
        <v>Soybeans</v>
      </c>
      <c r="C51" s="4" t="str">
        <f>'Product Catalogue'!A52</f>
        <v>LEG-SOY-001</v>
      </c>
      <c r="D51" s="7" t="str">
        <f>'Product Catalogue'!C52</f>
        <v>Food Commodities</v>
      </c>
    </row>
  </sheetData>
  <autoFilter ref="A1:D51"/>
  <pageMargins left="0.7" right="0.7" top="0.75" bottom="0.75" header="0.3" footer="0.3"/>
  <pageSetup paperSize="9" scale="98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'Product Catalogue'!$F$2</xm:f>
          </x14:formula1>
          <xm:sqref>A1</xm:sqref>
        </x14:dataValidation>
        <x14:dataValidation type="list" allowBlank="1" showInputMessage="1" showErrorMessage="1">
          <x14:formula1>
            <xm:f>'Product Catalogue'!$B$2</xm:f>
          </x14:formula1>
          <xm:sqref>B1</xm:sqref>
        </x14:dataValidation>
        <x14:dataValidation type="list" allowBlank="1" showInputMessage="1" showErrorMessage="1">
          <x14:formula1>
            <xm:f>'Product Catalogue'!$A$2</xm:f>
          </x14:formula1>
          <xm:sqref>C1</xm:sqref>
        </x14:dataValidation>
        <x14:dataValidation type="list" allowBlank="1" showInputMessage="1" showErrorMessage="1">
          <x14:formula1>
            <xm:f>'Product Catalogue'!$C$2</xm:f>
          </x14:formula1>
          <xm:sqref>D1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view="pageBreakPreview" zoomScale="110" zoomScaleNormal="220" zoomScaleSheetLayoutView="110" workbookViewId="0">
      <pane ySplit="1" topLeftCell="A5" activePane="bottomLeft" state="frozen"/>
      <selection activeCell="C1" sqref="C1"/>
      <selection pane="bottomLeft" activeCell="C8" sqref="C8"/>
    </sheetView>
  </sheetViews>
  <sheetFormatPr defaultRowHeight="24.95" customHeight="1" x14ac:dyDescent="0.25"/>
  <cols>
    <col min="1" max="1" width="21.85546875" customWidth="1"/>
    <col min="2" max="2" width="26.5703125" customWidth="1"/>
    <col min="3" max="3" width="23.5703125" customWidth="1"/>
    <col min="4" max="4" width="11" customWidth="1"/>
    <col min="5" max="5" width="15.85546875" customWidth="1"/>
  </cols>
  <sheetData>
    <row r="1" spans="1:5" ht="24.95" customHeight="1" x14ac:dyDescent="0.25">
      <c r="A1" s="38" t="s">
        <v>263</v>
      </c>
      <c r="B1" s="38" t="s">
        <v>264</v>
      </c>
      <c r="C1" s="38" t="s">
        <v>265</v>
      </c>
      <c r="D1" s="38" t="s">
        <v>4</v>
      </c>
      <c r="E1" s="15" t="s">
        <v>287</v>
      </c>
    </row>
    <row r="2" spans="1:5" ht="30" customHeight="1" x14ac:dyDescent="0.25">
      <c r="A2" s="39" t="s">
        <v>247</v>
      </c>
      <c r="B2" s="40" t="s">
        <v>266</v>
      </c>
      <c r="C2" s="41" t="s">
        <v>278</v>
      </c>
      <c r="D2" s="23" t="s">
        <v>145</v>
      </c>
    </row>
    <row r="3" spans="1:5" ht="30" customHeight="1" x14ac:dyDescent="0.25">
      <c r="A3" s="39" t="s">
        <v>246</v>
      </c>
      <c r="B3" s="40" t="s">
        <v>267</v>
      </c>
      <c r="C3" s="41" t="s">
        <v>279</v>
      </c>
      <c r="D3" s="23" t="s">
        <v>145</v>
      </c>
    </row>
    <row r="4" spans="1:5" ht="30" customHeight="1" x14ac:dyDescent="0.25">
      <c r="A4" s="39" t="s">
        <v>248</v>
      </c>
      <c r="B4" s="40" t="s">
        <v>268</v>
      </c>
      <c r="C4" s="41" t="s">
        <v>280</v>
      </c>
      <c r="D4" s="23" t="s">
        <v>145</v>
      </c>
    </row>
    <row r="5" spans="1:5" ht="30" customHeight="1" x14ac:dyDescent="0.25">
      <c r="A5" s="39" t="s">
        <v>0</v>
      </c>
      <c r="B5" s="40" t="s">
        <v>269</v>
      </c>
      <c r="C5" s="41" t="s">
        <v>281</v>
      </c>
      <c r="D5" s="23" t="s">
        <v>145</v>
      </c>
    </row>
    <row r="6" spans="1:5" ht="30" customHeight="1" x14ac:dyDescent="0.25">
      <c r="A6" s="39" t="s">
        <v>5</v>
      </c>
      <c r="B6" s="40" t="s">
        <v>270</v>
      </c>
      <c r="C6" s="41" t="s">
        <v>281</v>
      </c>
      <c r="D6" s="23" t="s">
        <v>145</v>
      </c>
    </row>
    <row r="7" spans="1:5" ht="30" customHeight="1" x14ac:dyDescent="0.25">
      <c r="A7" s="39" t="s">
        <v>1</v>
      </c>
      <c r="B7" s="40" t="s">
        <v>271</v>
      </c>
      <c r="C7" s="41" t="s">
        <v>282</v>
      </c>
      <c r="D7" s="23" t="s">
        <v>145</v>
      </c>
    </row>
    <row r="8" spans="1:5" ht="30" customHeight="1" x14ac:dyDescent="0.25">
      <c r="A8" s="39" t="s">
        <v>2</v>
      </c>
      <c r="B8" s="40" t="s">
        <v>272</v>
      </c>
      <c r="C8" s="41" t="s">
        <v>283</v>
      </c>
      <c r="D8" s="23" t="s">
        <v>145</v>
      </c>
    </row>
    <row r="9" spans="1:5" ht="30" customHeight="1" x14ac:dyDescent="0.25">
      <c r="A9" s="39" t="s">
        <v>3</v>
      </c>
      <c r="B9" s="40" t="s">
        <v>273</v>
      </c>
      <c r="C9" s="41" t="s">
        <v>284</v>
      </c>
      <c r="D9" s="23" t="s">
        <v>145</v>
      </c>
    </row>
    <row r="10" spans="1:5" ht="30" customHeight="1" x14ac:dyDescent="0.25">
      <c r="A10" s="39" t="s">
        <v>249</v>
      </c>
      <c r="B10" s="40" t="s">
        <v>274</v>
      </c>
      <c r="C10" s="41" t="s">
        <v>285</v>
      </c>
      <c r="D10" s="23" t="s">
        <v>145</v>
      </c>
    </row>
    <row r="11" spans="1:5" ht="30" customHeight="1" x14ac:dyDescent="0.25">
      <c r="A11" s="39" t="s">
        <v>250</v>
      </c>
      <c r="B11" s="40" t="s">
        <v>275</v>
      </c>
      <c r="C11" s="41" t="s">
        <v>284</v>
      </c>
      <c r="D11" s="23" t="s">
        <v>145</v>
      </c>
    </row>
    <row r="12" spans="1:5" ht="30" customHeight="1" x14ac:dyDescent="0.25">
      <c r="A12" s="39" t="s">
        <v>6</v>
      </c>
      <c r="B12" s="40" t="s">
        <v>276</v>
      </c>
      <c r="C12" s="41" t="s">
        <v>286</v>
      </c>
      <c r="D12" s="23" t="s">
        <v>145</v>
      </c>
    </row>
    <row r="13" spans="1:5" ht="30" customHeight="1" x14ac:dyDescent="0.25">
      <c r="A13" s="39" t="s">
        <v>4</v>
      </c>
      <c r="B13" s="40" t="s">
        <v>277</v>
      </c>
      <c r="C13" s="41" t="s">
        <v>284</v>
      </c>
      <c r="D13" s="23" t="s">
        <v>145</v>
      </c>
    </row>
    <row r="14" spans="1:5" ht="24.95" customHeight="1" x14ac:dyDescent="0.25">
      <c r="A14" s="22"/>
    </row>
    <row r="15" spans="1:5" ht="24.95" customHeight="1" x14ac:dyDescent="0.25">
      <c r="A15" s="22"/>
    </row>
    <row r="16" spans="1:5" ht="24.95" customHeight="1" x14ac:dyDescent="0.25">
      <c r="A16" s="22"/>
    </row>
    <row r="17" spans="1:1" ht="24.95" customHeight="1" x14ac:dyDescent="0.25">
      <c r="A17" s="22"/>
    </row>
    <row r="18" spans="1:1" ht="24.95" customHeight="1" x14ac:dyDescent="0.25">
      <c r="A18" s="22"/>
    </row>
  </sheetData>
  <pageMargins left="0.7" right="0.7" top="0.75" bottom="0.75" header="0.3" footer="0.3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1"/>
  <sheetViews>
    <sheetView view="pageBreakPreview" topLeftCell="G1" zoomScale="96" zoomScaleNormal="240" zoomScaleSheetLayoutView="96" workbookViewId="0">
      <pane ySplit="1" topLeftCell="A2" activePane="bottomLeft" state="frozen"/>
      <selection pane="bottomLeft" activeCell="O7" sqref="O7"/>
    </sheetView>
  </sheetViews>
  <sheetFormatPr defaultRowHeight="15" x14ac:dyDescent="0.25"/>
  <cols>
    <col min="1" max="1" width="11.28515625" customWidth="1"/>
    <col min="2" max="2" width="26" customWidth="1"/>
    <col min="3" max="4" width="16.85546875" customWidth="1"/>
    <col min="5" max="5" width="14" customWidth="1"/>
    <col min="6" max="6" width="9.7109375" customWidth="1"/>
    <col min="7" max="7" width="21.42578125" customWidth="1"/>
    <col min="8" max="8" width="14.5703125" customWidth="1"/>
    <col min="9" max="9" width="17.5703125" customWidth="1"/>
    <col min="10" max="10" width="17.85546875" customWidth="1"/>
    <col min="11" max="11" width="15.5703125" customWidth="1"/>
    <col min="12" max="12" width="19.7109375" customWidth="1"/>
    <col min="14" max="14" width="24.140625" customWidth="1"/>
    <col min="15" max="15" width="28.85546875" customWidth="1"/>
  </cols>
  <sheetData>
    <row r="1" spans="1:15" x14ac:dyDescent="0.25">
      <c r="A1" s="25" t="s">
        <v>247</v>
      </c>
      <c r="B1" s="25" t="s">
        <v>246</v>
      </c>
      <c r="C1" s="25" t="s">
        <v>248</v>
      </c>
      <c r="D1" s="25" t="s">
        <v>0</v>
      </c>
      <c r="E1" s="25" t="s">
        <v>5</v>
      </c>
      <c r="F1" s="25" t="s">
        <v>1</v>
      </c>
      <c r="G1" s="25" t="s">
        <v>2</v>
      </c>
      <c r="H1" s="25" t="s">
        <v>4</v>
      </c>
      <c r="I1" s="25" t="s">
        <v>288</v>
      </c>
      <c r="J1" s="25" t="s">
        <v>289</v>
      </c>
      <c r="K1" s="25" t="s">
        <v>290</v>
      </c>
      <c r="L1" s="25" t="s">
        <v>291</v>
      </c>
      <c r="M1" s="26"/>
      <c r="N1" s="31" t="s">
        <v>292</v>
      </c>
      <c r="O1" s="32"/>
    </row>
    <row r="2" spans="1:15" x14ac:dyDescent="0.25">
      <c r="A2" s="7" t="str">
        <f>'Product Catalogue'!A3</f>
        <v>BIO-PKS-001</v>
      </c>
      <c r="B2" s="7" t="str">
        <f>'Product Catalogue'!B3</f>
        <v>Palm Kernel Shells – Standard</v>
      </c>
      <c r="C2" s="7" t="str">
        <f>'Product Catalogue'!C3</f>
        <v>Biomass</v>
      </c>
      <c r="D2" s="7" t="str">
        <f>'Product Catalogue'!D3</f>
        <v>Palm Kernel Shells</v>
      </c>
      <c r="E2" s="7" t="str">
        <f>'Product Catalogue'!E3</f>
        <v>Standard Grade</v>
      </c>
      <c r="F2" s="7" t="str">
        <f>'Product Catalogue'!F3</f>
        <v>Supplier A</v>
      </c>
      <c r="G2" s="7" t="str">
        <f>'Product Catalogue'!G3</f>
        <v>Moisture ≤15%; Ash ≤5%</v>
      </c>
      <c r="H2" s="7" t="str">
        <f>'Product Catalogue'!L3</f>
        <v>Active</v>
      </c>
      <c r="I2" s="26" t="str">
        <f>IF(COUNTA(A2:H2)=8,"Complete","Incomplete")</f>
        <v>Complete</v>
      </c>
      <c r="J2" s="26" t="str">
        <f>IF(G2&lt;&gt;"","Pass","Fail")</f>
        <v>Pass</v>
      </c>
      <c r="K2" s="26" t="str">
        <f>IF(AND(C2&lt;&gt;"",D2&lt;&gt;"",E2&lt;&gt;""),"Pass","Fail")</f>
        <v>Pass</v>
      </c>
      <c r="L2" s="26" t="str">
        <f>IF(AND(I2="Complete",J2="Pass",K2="Pass"),"Approved","Review Required")</f>
        <v>Approved</v>
      </c>
      <c r="M2" s="26"/>
      <c r="N2" s="27" t="s">
        <v>293</v>
      </c>
      <c r="O2" s="29">
        <f>COUNTA(A2:A51)</f>
        <v>50</v>
      </c>
    </row>
    <row r="3" spans="1:15" x14ac:dyDescent="0.25">
      <c r="A3" s="7" t="str">
        <f>'Product Catalogue'!A4</f>
        <v>BIO-PKS-002</v>
      </c>
      <c r="B3" s="7" t="str">
        <f>'Product Catalogue'!B4</f>
        <v>Palm Kernel Shells – Premium</v>
      </c>
      <c r="C3" s="7" t="str">
        <f>'Product Catalogue'!C4</f>
        <v>Biomass</v>
      </c>
      <c r="D3" s="7" t="str">
        <f>'Product Catalogue'!D4</f>
        <v>Palm Kernel Shells</v>
      </c>
      <c r="E3" s="7" t="str">
        <f>'Product Catalogue'!E4</f>
        <v>Premium Grade</v>
      </c>
      <c r="F3" s="7" t="str">
        <f>'Product Catalogue'!F4</f>
        <v>Supplier B</v>
      </c>
      <c r="G3" s="7" t="str">
        <f>'Product Catalogue'!G4</f>
        <v>Moisture ≤12%; Ash ≤4%</v>
      </c>
      <c r="H3" s="7" t="str">
        <f>'Product Catalogue'!L4</f>
        <v>Active</v>
      </c>
      <c r="I3" s="26" t="str">
        <f t="shared" ref="I3:I51" si="0">IF(COUNTA(A3:H3)=8,"Complete","Incomplete")</f>
        <v>Complete</v>
      </c>
      <c r="J3" s="26" t="str">
        <f t="shared" ref="J3:J51" si="1">IF(G3&lt;&gt;"","Pass","Fail")</f>
        <v>Pass</v>
      </c>
      <c r="K3" s="26" t="str">
        <f t="shared" ref="K3:K51" si="2">IF(AND(C3&lt;&gt;"",D3&lt;&gt;"",E3&lt;&gt;""),"Pass","Fail")</f>
        <v>Pass</v>
      </c>
      <c r="L3" s="26" t="str">
        <f t="shared" ref="L3:L51" si="3">IF(AND(I3="Complete",J3="Pass",K3="Pass"),"Approved","Review Required")</f>
        <v>Approved</v>
      </c>
      <c r="M3" s="26"/>
      <c r="N3" s="28" t="s">
        <v>294</v>
      </c>
      <c r="O3" s="29">
        <f>COUNTIF(I2:I51,"Complete")</f>
        <v>50</v>
      </c>
    </row>
    <row r="4" spans="1:15" x14ac:dyDescent="0.25">
      <c r="A4" s="7" t="str">
        <f>'Product Catalogue'!A5</f>
        <v>BIO-WOD-001</v>
      </c>
      <c r="B4" s="7" t="str">
        <f>'Product Catalogue'!B5</f>
        <v>Industrial Wood Pellets</v>
      </c>
      <c r="C4" s="7" t="str">
        <f>'Product Catalogue'!C5</f>
        <v>Biomass</v>
      </c>
      <c r="D4" s="7" t="str">
        <f>'Product Catalogue'!D5</f>
        <v>Wood Pellets</v>
      </c>
      <c r="E4" s="7" t="str">
        <f>'Product Catalogue'!E5</f>
        <v>Industrial Grade</v>
      </c>
      <c r="F4" s="7" t="str">
        <f>'Product Catalogue'!F5</f>
        <v>Supplier C</v>
      </c>
      <c r="G4" s="7" t="str">
        <f>'Product Catalogue'!G5</f>
        <v>6mm; Moisture ≤10%</v>
      </c>
      <c r="H4" s="7" t="str">
        <f>'Product Catalogue'!L5</f>
        <v>Active</v>
      </c>
      <c r="I4" s="26" t="str">
        <f t="shared" si="0"/>
        <v>Complete</v>
      </c>
      <c r="J4" s="26" t="str">
        <f t="shared" si="1"/>
        <v>Pass</v>
      </c>
      <c r="K4" s="26" t="str">
        <f t="shared" si="2"/>
        <v>Pass</v>
      </c>
      <c r="L4" s="26" t="str">
        <f t="shared" si="3"/>
        <v>Approved</v>
      </c>
      <c r="M4" s="26"/>
      <c r="N4" s="28" t="s">
        <v>295</v>
      </c>
      <c r="O4" s="30">
        <f>COUNTIF(J2:J51,"Pass")</f>
        <v>50</v>
      </c>
    </row>
    <row r="5" spans="1:15" x14ac:dyDescent="0.25">
      <c r="A5" s="7" t="str">
        <f>'Product Catalogue'!A6</f>
        <v>BIO-WOD-002</v>
      </c>
      <c r="B5" s="7" t="str">
        <f>'Product Catalogue'!B6</f>
        <v>Premium Wood Pellets</v>
      </c>
      <c r="C5" s="7" t="str">
        <f>'Product Catalogue'!C6</f>
        <v>Biomass</v>
      </c>
      <c r="D5" s="7" t="str">
        <f>'Product Catalogue'!D6</f>
        <v>Wood Pellets</v>
      </c>
      <c r="E5" s="7" t="str">
        <f>'Product Catalogue'!E6</f>
        <v>Premium Grade</v>
      </c>
      <c r="F5" s="7" t="str">
        <f>'Product Catalogue'!F6</f>
        <v>Supplier D</v>
      </c>
      <c r="G5" s="7" t="str">
        <f>'Product Catalogue'!G6</f>
        <v>8mm; Moisture ≤8%</v>
      </c>
      <c r="H5" s="7" t="str">
        <f>'Product Catalogue'!L6</f>
        <v>Active</v>
      </c>
      <c r="I5" s="26" t="str">
        <f t="shared" si="0"/>
        <v>Complete</v>
      </c>
      <c r="J5" s="26" t="str">
        <f t="shared" si="1"/>
        <v>Pass</v>
      </c>
      <c r="K5" s="26" t="str">
        <f t="shared" si="2"/>
        <v>Pass</v>
      </c>
      <c r="L5" s="26" t="str">
        <f t="shared" si="3"/>
        <v>Approved</v>
      </c>
      <c r="M5" s="26"/>
      <c r="N5" s="28" t="s">
        <v>296</v>
      </c>
      <c r="O5" s="30">
        <f>COUNTIF(K2:K51,"Pass")</f>
        <v>50</v>
      </c>
    </row>
    <row r="6" spans="1:15" x14ac:dyDescent="0.25">
      <c r="A6" s="7" t="str">
        <f>'Product Catalogue'!A7</f>
        <v>BIO-SAW-001</v>
      </c>
      <c r="B6" s="7" t="str">
        <f>'Product Catalogue'!B7</f>
        <v>Dry Sawdust</v>
      </c>
      <c r="C6" s="7" t="str">
        <f>'Product Catalogue'!C7</f>
        <v>Biomass</v>
      </c>
      <c r="D6" s="7" t="str">
        <f>'Product Catalogue'!D7</f>
        <v>Sawdust</v>
      </c>
      <c r="E6" s="7" t="str">
        <f>'Product Catalogue'!E7</f>
        <v>Dry Grade</v>
      </c>
      <c r="F6" s="7" t="str">
        <f>'Product Catalogue'!F7</f>
        <v>Supplier A</v>
      </c>
      <c r="G6" s="7" t="str">
        <f>'Product Catalogue'!G7</f>
        <v>Moisture ≤12%</v>
      </c>
      <c r="H6" s="7" t="str">
        <f>'Product Catalogue'!L7</f>
        <v>Active</v>
      </c>
      <c r="I6" s="26" t="str">
        <f t="shared" si="0"/>
        <v>Complete</v>
      </c>
      <c r="J6" s="26" t="str">
        <f t="shared" si="1"/>
        <v>Pass</v>
      </c>
      <c r="K6" s="26" t="str">
        <f t="shared" si="2"/>
        <v>Pass</v>
      </c>
      <c r="L6" s="26" t="str">
        <f t="shared" si="3"/>
        <v>Approved</v>
      </c>
      <c r="M6" s="26"/>
      <c r="N6" s="28" t="s">
        <v>297</v>
      </c>
      <c r="O6" s="30">
        <f>COUNTIF(L2:L51,"Approved")</f>
        <v>50</v>
      </c>
    </row>
    <row r="7" spans="1:15" x14ac:dyDescent="0.25">
      <c r="A7" s="7" t="str">
        <f>'Product Catalogue'!A8</f>
        <v>BIO-BRI-001</v>
      </c>
      <c r="B7" s="7" t="str">
        <f>'Product Catalogue'!B8</f>
        <v>Biomass Briquettes</v>
      </c>
      <c r="C7" s="7" t="str">
        <f>'Product Catalogue'!C8</f>
        <v>Biomass</v>
      </c>
      <c r="D7" s="7" t="str">
        <f>'Product Catalogue'!D8</f>
        <v>Briquettes</v>
      </c>
      <c r="E7" s="7" t="str">
        <f>'Product Catalogue'!E8</f>
        <v>Biomass Briquette</v>
      </c>
      <c r="F7" s="7" t="str">
        <f>'Product Catalogue'!F8</f>
        <v>Supplier E</v>
      </c>
      <c r="G7" s="7" t="str">
        <f>'Product Catalogue'!G8</f>
        <v>70mm; Moisture ≤10%</v>
      </c>
      <c r="H7" s="7" t="str">
        <f>'Product Catalogue'!L8</f>
        <v>Active</v>
      </c>
      <c r="I7" s="26" t="str">
        <f t="shared" si="0"/>
        <v>Complete</v>
      </c>
      <c r="J7" s="26" t="str">
        <f t="shared" si="1"/>
        <v>Pass</v>
      </c>
      <c r="K7" s="26" t="str">
        <f t="shared" si="2"/>
        <v>Pass</v>
      </c>
      <c r="L7" s="26" t="str">
        <f t="shared" si="3"/>
        <v>Approved</v>
      </c>
      <c r="M7" s="26"/>
      <c r="N7" s="28" t="s">
        <v>298</v>
      </c>
      <c r="O7" s="30">
        <f>COUNTIF(L2:L51,"Review Required")</f>
        <v>0</v>
      </c>
    </row>
    <row r="8" spans="1:15" x14ac:dyDescent="0.25">
      <c r="A8" s="7" t="str">
        <f>'Product Catalogue'!A9</f>
        <v>OIL-SUN-001</v>
      </c>
      <c r="B8" s="7" t="str">
        <f>'Product Catalogue'!B9</f>
        <v>Crude Sunflower Oil</v>
      </c>
      <c r="C8" s="7" t="str">
        <f>'Product Catalogue'!C9</f>
        <v>Oils &amp; Fats</v>
      </c>
      <c r="D8" s="7" t="str">
        <f>'Product Catalogue'!D9</f>
        <v>Sunflower Oil</v>
      </c>
      <c r="E8" s="7" t="str">
        <f>'Product Catalogue'!E9</f>
        <v>Crude Oil</v>
      </c>
      <c r="F8" s="7" t="str">
        <f>'Product Catalogue'!F9</f>
        <v>Supplier F</v>
      </c>
      <c r="G8" s="7" t="str">
        <f>'Product Catalogue'!G9</f>
        <v>FFA ≤2%; Moisture ≤0.2%</v>
      </c>
      <c r="H8" s="7" t="str">
        <f>'Product Catalogue'!L9</f>
        <v>Active</v>
      </c>
      <c r="I8" s="26" t="str">
        <f t="shared" si="0"/>
        <v>Complete</v>
      </c>
      <c r="J8" s="26" t="str">
        <f t="shared" si="1"/>
        <v>Pass</v>
      </c>
      <c r="K8" s="26" t="str">
        <f t="shared" si="2"/>
        <v>Pass</v>
      </c>
      <c r="L8" s="26" t="str">
        <f t="shared" si="3"/>
        <v>Approved</v>
      </c>
      <c r="M8" s="26"/>
      <c r="N8" s="26"/>
      <c r="O8" s="26"/>
    </row>
    <row r="9" spans="1:15" x14ac:dyDescent="0.25">
      <c r="A9" s="7" t="str">
        <f>'Product Catalogue'!A10</f>
        <v>OIL-SUN-002</v>
      </c>
      <c r="B9" s="7" t="str">
        <f>'Product Catalogue'!B10</f>
        <v>Refined Sunflower Oil</v>
      </c>
      <c r="C9" s="7" t="str">
        <f>'Product Catalogue'!C10</f>
        <v>Oils &amp; Fats</v>
      </c>
      <c r="D9" s="7" t="str">
        <f>'Product Catalogue'!D10</f>
        <v>Sunflower Oil</v>
      </c>
      <c r="E9" s="7" t="str">
        <f>'Product Catalogue'!E10</f>
        <v>Refined Oil</v>
      </c>
      <c r="F9" s="7" t="str">
        <f>'Product Catalogue'!F10</f>
        <v>Supplier G</v>
      </c>
      <c r="G9" s="7" t="str">
        <f>'Product Catalogue'!G10</f>
        <v>Food Grade; RBD</v>
      </c>
      <c r="H9" s="7" t="str">
        <f>'Product Catalogue'!L10</f>
        <v>Active</v>
      </c>
      <c r="I9" s="26" t="str">
        <f t="shared" si="0"/>
        <v>Complete</v>
      </c>
      <c r="J9" s="26" t="str">
        <f t="shared" si="1"/>
        <v>Pass</v>
      </c>
      <c r="K9" s="26" t="str">
        <f t="shared" si="2"/>
        <v>Pass</v>
      </c>
      <c r="L9" s="26" t="str">
        <f t="shared" si="3"/>
        <v>Approved</v>
      </c>
      <c r="M9" s="26"/>
      <c r="N9" s="26"/>
      <c r="O9" s="26"/>
    </row>
    <row r="10" spans="1:15" x14ac:dyDescent="0.25">
      <c r="A10" s="7" t="str">
        <f>'Product Catalogue'!A11</f>
        <v>OIL-SOY-001</v>
      </c>
      <c r="B10" s="7" t="str">
        <f>'Product Catalogue'!B11</f>
        <v>Crude Soybean Oil</v>
      </c>
      <c r="C10" s="7" t="str">
        <f>'Product Catalogue'!C11</f>
        <v>Oils &amp; Fats</v>
      </c>
      <c r="D10" s="7" t="str">
        <f>'Product Catalogue'!D11</f>
        <v>Soybean Oil</v>
      </c>
      <c r="E10" s="7" t="str">
        <f>'Product Catalogue'!E11</f>
        <v>Crude Oil</v>
      </c>
      <c r="F10" s="7" t="str">
        <f>'Product Catalogue'!F11</f>
        <v>Supplier H</v>
      </c>
      <c r="G10" s="7" t="str">
        <f>'Product Catalogue'!G11</f>
        <v>FFA ≤1.5%</v>
      </c>
      <c r="H10" s="7" t="str">
        <f>'Product Catalogue'!L11</f>
        <v>Active</v>
      </c>
      <c r="I10" s="26" t="str">
        <f t="shared" si="0"/>
        <v>Complete</v>
      </c>
      <c r="J10" s="26" t="str">
        <f t="shared" si="1"/>
        <v>Pass</v>
      </c>
      <c r="K10" s="26" t="str">
        <f t="shared" si="2"/>
        <v>Pass</v>
      </c>
      <c r="L10" s="26" t="str">
        <f t="shared" si="3"/>
        <v>Approved</v>
      </c>
      <c r="M10" s="26"/>
      <c r="N10" s="26"/>
      <c r="O10" s="26"/>
    </row>
    <row r="11" spans="1:15" x14ac:dyDescent="0.25">
      <c r="A11" s="7" t="str">
        <f>'Product Catalogue'!A12</f>
        <v>OIL-PAL-001</v>
      </c>
      <c r="B11" s="7" t="str">
        <f>'Product Catalogue'!B12</f>
        <v>Crude Palm Oil</v>
      </c>
      <c r="C11" s="7" t="str">
        <f>'Product Catalogue'!C12</f>
        <v>Oils &amp; Fats</v>
      </c>
      <c r="D11" s="7" t="str">
        <f>'Product Catalogue'!D12</f>
        <v>Palm Oil</v>
      </c>
      <c r="E11" s="7" t="str">
        <f>'Product Catalogue'!E12</f>
        <v>Crude Palm Oil</v>
      </c>
      <c r="F11" s="7" t="str">
        <f>'Product Catalogue'!F12</f>
        <v>Supplier I</v>
      </c>
      <c r="G11" s="7" t="str">
        <f>'Product Catalogue'!G12</f>
        <v>FFA ≤5%</v>
      </c>
      <c r="H11" s="7" t="str">
        <f>'Product Catalogue'!L12</f>
        <v>Active</v>
      </c>
      <c r="I11" s="26" t="str">
        <f t="shared" si="0"/>
        <v>Complete</v>
      </c>
      <c r="J11" s="26" t="str">
        <f t="shared" si="1"/>
        <v>Pass</v>
      </c>
      <c r="K11" s="26" t="str">
        <f t="shared" si="2"/>
        <v>Pass</v>
      </c>
      <c r="L11" s="26" t="str">
        <f t="shared" si="3"/>
        <v>Approved</v>
      </c>
      <c r="M11" s="26"/>
      <c r="N11" s="26"/>
      <c r="O11" s="26"/>
    </row>
    <row r="12" spans="1:15" x14ac:dyDescent="0.25">
      <c r="A12" s="7" t="str">
        <f>'Product Catalogue'!A13</f>
        <v>OIL-SHE-001</v>
      </c>
      <c r="B12" s="7" t="str">
        <f>'Product Catalogue'!B13</f>
        <v>Natural Shea Butter</v>
      </c>
      <c r="C12" s="7" t="str">
        <f>'Product Catalogue'!C13</f>
        <v>Oils &amp; Fats</v>
      </c>
      <c r="D12" s="7" t="str">
        <f>'Product Catalogue'!D13</f>
        <v>Shea Products</v>
      </c>
      <c r="E12" s="7" t="str">
        <f>'Product Catalogue'!E13</f>
        <v>Unrefined Shea Butter</v>
      </c>
      <c r="F12" s="7" t="str">
        <f>'Product Catalogue'!F13</f>
        <v>Supplier J</v>
      </c>
      <c r="G12" s="7" t="str">
        <f>'Product Catalogue'!G13</f>
        <v>Unrefined; Cosmetic Grade</v>
      </c>
      <c r="H12" s="7" t="str">
        <f>'Product Catalogue'!L13</f>
        <v>Active</v>
      </c>
      <c r="I12" s="26" t="str">
        <f t="shared" si="0"/>
        <v>Complete</v>
      </c>
      <c r="J12" s="26" t="str">
        <f t="shared" si="1"/>
        <v>Pass</v>
      </c>
      <c r="K12" s="26" t="str">
        <f t="shared" si="2"/>
        <v>Pass</v>
      </c>
      <c r="L12" s="26" t="str">
        <f t="shared" si="3"/>
        <v>Approved</v>
      </c>
      <c r="M12" s="26"/>
      <c r="N12" s="26"/>
      <c r="O12" s="26"/>
    </row>
    <row r="13" spans="1:15" x14ac:dyDescent="0.25">
      <c r="A13" s="7" t="str">
        <f>'Product Catalogue'!A14</f>
        <v>OIL-SHE-002</v>
      </c>
      <c r="B13" s="7" t="str">
        <f>'Product Catalogue'!B14</f>
        <v>Refined Shea Butter</v>
      </c>
      <c r="C13" s="7" t="str">
        <f>'Product Catalogue'!C14</f>
        <v>Oils &amp; Fats</v>
      </c>
      <c r="D13" s="7" t="str">
        <f>'Product Catalogue'!D14</f>
        <v>Shea Products</v>
      </c>
      <c r="E13" s="7" t="str">
        <f>'Product Catalogue'!E14</f>
        <v>Refined Shea Butter</v>
      </c>
      <c r="F13" s="7" t="str">
        <f>'Product Catalogue'!F14</f>
        <v>Supplier C</v>
      </c>
      <c r="G13" s="7" t="str">
        <f>'Product Catalogue'!G14</f>
        <v>Refined; Cosmetic Grade</v>
      </c>
      <c r="H13" s="7" t="str">
        <f>'Product Catalogue'!L14</f>
        <v>Active</v>
      </c>
      <c r="I13" s="26" t="str">
        <f t="shared" si="0"/>
        <v>Complete</v>
      </c>
      <c r="J13" s="26" t="str">
        <f t="shared" si="1"/>
        <v>Pass</v>
      </c>
      <c r="K13" s="26" t="str">
        <f t="shared" si="2"/>
        <v>Pass</v>
      </c>
      <c r="L13" s="26" t="str">
        <f t="shared" si="3"/>
        <v>Approved</v>
      </c>
      <c r="M13" s="26"/>
      <c r="N13" s="26"/>
      <c r="O13" s="26"/>
    </row>
    <row r="14" spans="1:15" x14ac:dyDescent="0.25">
      <c r="A14" s="7" t="str">
        <f>'Product Catalogue'!A15</f>
        <v>OIL-COC-001</v>
      </c>
      <c r="B14" s="7" t="str">
        <f>'Product Catalogue'!B15</f>
        <v>Crude Coconut Oil</v>
      </c>
      <c r="C14" s="7" t="str">
        <f>'Product Catalogue'!C15</f>
        <v>Oils &amp; Fats</v>
      </c>
      <c r="D14" s="7" t="str">
        <f>'Product Catalogue'!D15</f>
        <v>Coconut Oil</v>
      </c>
      <c r="E14" s="7" t="str">
        <f>'Product Catalogue'!E15</f>
        <v>Virgin Oil</v>
      </c>
      <c r="F14" s="7" t="str">
        <f>'Product Catalogue'!F15</f>
        <v>Supplier D</v>
      </c>
      <c r="G14" s="7" t="str">
        <f>'Product Catalogue'!G15</f>
        <v>Virgin; Unrefined</v>
      </c>
      <c r="H14" s="7" t="str">
        <f>'Product Catalogue'!L15</f>
        <v>Active</v>
      </c>
      <c r="I14" s="26" t="str">
        <f t="shared" si="0"/>
        <v>Complete</v>
      </c>
      <c r="J14" s="26" t="str">
        <f t="shared" si="1"/>
        <v>Pass</v>
      </c>
      <c r="K14" s="26" t="str">
        <f t="shared" si="2"/>
        <v>Pass</v>
      </c>
      <c r="L14" s="26" t="str">
        <f t="shared" si="3"/>
        <v>Approved</v>
      </c>
      <c r="M14" s="26"/>
      <c r="N14" s="26"/>
      <c r="O14" s="26"/>
    </row>
    <row r="15" spans="1:15" x14ac:dyDescent="0.25">
      <c r="A15" s="7" t="str">
        <f>'Product Catalogue'!A16</f>
        <v>SUG-ICU-001</v>
      </c>
      <c r="B15" s="7" t="str">
        <f>'Product Catalogue'!B16</f>
        <v>ICUMSA 45 Sugar</v>
      </c>
      <c r="C15" s="7" t="str">
        <f>'Product Catalogue'!C16</f>
        <v>Food Commodities</v>
      </c>
      <c r="D15" s="7" t="str">
        <f>'Product Catalogue'!D16</f>
        <v>Sugar</v>
      </c>
      <c r="E15" s="7" t="str">
        <f>'Product Catalogue'!E16</f>
        <v>Refined White Sugar</v>
      </c>
      <c r="F15" s="7" t="str">
        <f>'Product Catalogue'!F16</f>
        <v>Supplier E</v>
      </c>
      <c r="G15" s="7" t="str">
        <f>'Product Catalogue'!G16</f>
        <v>White Refined; 50kg Bags</v>
      </c>
      <c r="H15" s="7" t="str">
        <f>'Product Catalogue'!L16</f>
        <v>Active</v>
      </c>
      <c r="I15" s="26" t="str">
        <f t="shared" si="0"/>
        <v>Complete</v>
      </c>
      <c r="J15" s="26" t="str">
        <f t="shared" si="1"/>
        <v>Pass</v>
      </c>
      <c r="K15" s="26" t="str">
        <f t="shared" si="2"/>
        <v>Pass</v>
      </c>
      <c r="L15" s="26" t="str">
        <f t="shared" si="3"/>
        <v>Approved</v>
      </c>
      <c r="M15" s="26"/>
      <c r="N15" s="26"/>
      <c r="O15" s="26"/>
    </row>
    <row r="16" spans="1:15" x14ac:dyDescent="0.25">
      <c r="A16" s="7" t="str">
        <f>'Product Catalogue'!A17</f>
        <v>SUG-ICU-002</v>
      </c>
      <c r="B16" s="7" t="str">
        <f>'Product Catalogue'!B17</f>
        <v>Refined White Sugar IC45</v>
      </c>
      <c r="C16" s="7" t="str">
        <f>'Product Catalogue'!C17</f>
        <v>Food Commodities</v>
      </c>
      <c r="D16" s="7" t="str">
        <f>'Product Catalogue'!D17</f>
        <v>Sugar</v>
      </c>
      <c r="E16" s="7" t="str">
        <f>'Product Catalogue'!E17</f>
        <v>Refined White Sugar</v>
      </c>
      <c r="F16" s="7" t="str">
        <f>'Product Catalogue'!F17</f>
        <v>Supplier F</v>
      </c>
      <c r="G16" s="7" t="str">
        <f>'Product Catalogue'!G17</f>
        <v>White Refined; 50kg Bags</v>
      </c>
      <c r="H16" s="7" t="str">
        <f>'Product Catalogue'!L17</f>
        <v>Duplicate Review</v>
      </c>
      <c r="I16" s="26" t="str">
        <f t="shared" si="0"/>
        <v>Complete</v>
      </c>
      <c r="J16" s="26" t="str">
        <f t="shared" si="1"/>
        <v>Pass</v>
      </c>
      <c r="K16" s="26" t="str">
        <f t="shared" si="2"/>
        <v>Pass</v>
      </c>
      <c r="L16" s="26" t="str">
        <f t="shared" si="3"/>
        <v>Approved</v>
      </c>
      <c r="M16" s="26"/>
      <c r="N16" s="26"/>
      <c r="O16" s="26"/>
    </row>
    <row r="17" spans="1:15" x14ac:dyDescent="0.25">
      <c r="A17" s="7" t="str">
        <f>'Product Catalogue'!A18</f>
        <v>SUG-ICU-003</v>
      </c>
      <c r="B17" s="7" t="str">
        <f>'Product Catalogue'!B18</f>
        <v>ICUMSA 100 Sugar</v>
      </c>
      <c r="C17" s="7" t="str">
        <f>'Product Catalogue'!C18</f>
        <v>Food Commodities</v>
      </c>
      <c r="D17" s="7" t="str">
        <f>'Product Catalogue'!D18</f>
        <v>Sugar</v>
      </c>
      <c r="E17" s="7" t="str">
        <f>'Product Catalogue'!E18</f>
        <v>Refined White Sugar</v>
      </c>
      <c r="F17" s="7" t="str">
        <f>'Product Catalogue'!F18</f>
        <v>Supplier G</v>
      </c>
      <c r="G17" s="7" t="str">
        <f>'Product Catalogue'!G18</f>
        <v>White Refined; 50kg Bags</v>
      </c>
      <c r="H17" s="7" t="str">
        <f>'Product Catalogue'!L18</f>
        <v>Active</v>
      </c>
      <c r="I17" s="26" t="str">
        <f t="shared" si="0"/>
        <v>Complete</v>
      </c>
      <c r="J17" s="26" t="str">
        <f t="shared" si="1"/>
        <v>Pass</v>
      </c>
      <c r="K17" s="26" t="str">
        <f t="shared" si="2"/>
        <v>Pass</v>
      </c>
      <c r="L17" s="26" t="str">
        <f t="shared" si="3"/>
        <v>Approved</v>
      </c>
      <c r="M17" s="26"/>
      <c r="N17" s="26"/>
      <c r="O17" s="26"/>
    </row>
    <row r="18" spans="1:15" x14ac:dyDescent="0.25">
      <c r="A18" s="7" t="str">
        <f>'Product Catalogue'!A19</f>
        <v>SUG-RAW-001</v>
      </c>
      <c r="B18" s="7" t="str">
        <f>'Product Catalogue'!B19</f>
        <v>Raw Cane Sugar</v>
      </c>
      <c r="C18" s="7" t="str">
        <f>'Product Catalogue'!C19</f>
        <v>Food Commodities</v>
      </c>
      <c r="D18" s="7" t="str">
        <f>'Product Catalogue'!D19</f>
        <v>Sugar</v>
      </c>
      <c r="E18" s="7" t="str">
        <f>'Product Catalogue'!E19</f>
        <v>Raw Sugar</v>
      </c>
      <c r="F18" s="7" t="str">
        <f>'Product Catalogue'!F19</f>
        <v>Supplier H</v>
      </c>
      <c r="G18" s="7" t="str">
        <f>'Product Catalogue'!G19</f>
        <v>ICUMSA 600–1200</v>
      </c>
      <c r="H18" s="7" t="str">
        <f>'Product Catalogue'!L19</f>
        <v>Active</v>
      </c>
      <c r="I18" s="26" t="str">
        <f t="shared" si="0"/>
        <v>Complete</v>
      </c>
      <c r="J18" s="26" t="str">
        <f t="shared" si="1"/>
        <v>Pass</v>
      </c>
      <c r="K18" s="26" t="str">
        <f t="shared" si="2"/>
        <v>Pass</v>
      </c>
      <c r="L18" s="26" t="str">
        <f t="shared" si="3"/>
        <v>Approved</v>
      </c>
      <c r="M18" s="26"/>
      <c r="N18" s="26"/>
      <c r="O18" s="26"/>
    </row>
    <row r="19" spans="1:15" x14ac:dyDescent="0.25">
      <c r="A19" s="7" t="str">
        <f>'Product Catalogue'!A20</f>
        <v>RIC-WHI-001</v>
      </c>
      <c r="B19" s="7" t="str">
        <f>'Product Catalogue'!B20</f>
        <v>Long Grain White Rice</v>
      </c>
      <c r="C19" s="7" t="str">
        <f>'Product Catalogue'!C20</f>
        <v>Food Commodities</v>
      </c>
      <c r="D19" s="7" t="str">
        <f>'Product Catalogue'!D20</f>
        <v>Rice</v>
      </c>
      <c r="E19" s="7" t="str">
        <f>'Product Catalogue'!E20</f>
        <v>Long Grain</v>
      </c>
      <c r="F19" s="7" t="str">
        <f>'Product Catalogue'!F20</f>
        <v>Supplier I</v>
      </c>
      <c r="G19" s="7" t="str">
        <f>'Product Catalogue'!G20</f>
        <v>5% Broken; 25kg Bags</v>
      </c>
      <c r="H19" s="7" t="str">
        <f>'Product Catalogue'!L20</f>
        <v>Active</v>
      </c>
      <c r="I19" s="26" t="str">
        <f t="shared" si="0"/>
        <v>Complete</v>
      </c>
      <c r="J19" s="26" t="str">
        <f t="shared" si="1"/>
        <v>Pass</v>
      </c>
      <c r="K19" s="26" t="str">
        <f t="shared" si="2"/>
        <v>Pass</v>
      </c>
      <c r="L19" s="26" t="str">
        <f t="shared" si="3"/>
        <v>Approved</v>
      </c>
      <c r="M19" s="26"/>
      <c r="N19" s="26"/>
      <c r="O19" s="26"/>
    </row>
    <row r="20" spans="1:15" x14ac:dyDescent="0.25">
      <c r="A20" s="7" t="str">
        <f>'Product Catalogue'!A21</f>
        <v>RIC-WHI-002</v>
      </c>
      <c r="B20" s="7" t="str">
        <f>'Product Catalogue'!B21</f>
        <v>Parboiled Long Grain Rice</v>
      </c>
      <c r="C20" s="7" t="str">
        <f>'Product Catalogue'!C21</f>
        <v>Food Commodities</v>
      </c>
      <c r="D20" s="7" t="str">
        <f>'Product Catalogue'!D21</f>
        <v>Rice</v>
      </c>
      <c r="E20" s="7" t="str">
        <f>'Product Catalogue'!E21</f>
        <v>Parboiled Long Grain</v>
      </c>
      <c r="F20" s="7" t="str">
        <f>'Product Catalogue'!F21</f>
        <v>Supplier J</v>
      </c>
      <c r="G20" s="7" t="str">
        <f>'Product Catalogue'!G21</f>
        <v>5% Broken; 25kg Bags</v>
      </c>
      <c r="H20" s="7" t="str">
        <f>'Product Catalogue'!L21</f>
        <v>Active</v>
      </c>
      <c r="I20" s="26" t="str">
        <f t="shared" si="0"/>
        <v>Complete</v>
      </c>
      <c r="J20" s="26" t="str">
        <f t="shared" si="1"/>
        <v>Pass</v>
      </c>
      <c r="K20" s="26" t="str">
        <f t="shared" si="2"/>
        <v>Pass</v>
      </c>
      <c r="L20" s="26" t="str">
        <f t="shared" si="3"/>
        <v>Approved</v>
      </c>
      <c r="M20" s="26"/>
      <c r="N20" s="26"/>
      <c r="O20" s="26"/>
    </row>
    <row r="21" spans="1:15" x14ac:dyDescent="0.25">
      <c r="A21" s="7" t="str">
        <f>'Product Catalogue'!A22</f>
        <v>RIC-BAS-001</v>
      </c>
      <c r="B21" s="7" t="str">
        <f>'Product Catalogue'!B22</f>
        <v>Basmati Rice</v>
      </c>
      <c r="C21" s="7" t="str">
        <f>'Product Catalogue'!C22</f>
        <v>Food Commodities</v>
      </c>
      <c r="D21" s="7" t="str">
        <f>'Product Catalogue'!D22</f>
        <v>Rice</v>
      </c>
      <c r="E21" s="7" t="str">
        <f>'Product Catalogue'!E22</f>
        <v>Basmati</v>
      </c>
      <c r="F21" s="7" t="str">
        <f>'Product Catalogue'!F22</f>
        <v>Supplier C</v>
      </c>
      <c r="G21" s="7" t="str">
        <f>'Product Catalogue'!G22</f>
        <v>1121; 5% Broken</v>
      </c>
      <c r="H21" s="7" t="str">
        <f>'Product Catalogue'!L22</f>
        <v>Active</v>
      </c>
      <c r="I21" s="26" t="str">
        <f t="shared" si="0"/>
        <v>Complete</v>
      </c>
      <c r="J21" s="26" t="str">
        <f t="shared" si="1"/>
        <v>Pass</v>
      </c>
      <c r="K21" s="26" t="str">
        <f t="shared" si="2"/>
        <v>Pass</v>
      </c>
      <c r="L21" s="26" t="str">
        <f t="shared" si="3"/>
        <v>Approved</v>
      </c>
      <c r="M21" s="26"/>
      <c r="N21" s="26"/>
      <c r="O21" s="26"/>
    </row>
    <row r="22" spans="1:15" x14ac:dyDescent="0.25">
      <c r="A22" s="7" t="str">
        <f>'Product Catalogue'!A23</f>
        <v>AGR-CAS-001</v>
      </c>
      <c r="B22" s="7" t="str">
        <f>'Product Catalogue'!B23</f>
        <v>Raw Cashew Nuts</v>
      </c>
      <c r="C22" s="7" t="str">
        <f>'Product Catalogue'!C23</f>
        <v>Agricultural Products</v>
      </c>
      <c r="D22" s="7" t="str">
        <f>'Product Catalogue'!D23</f>
        <v>Cashew</v>
      </c>
      <c r="E22" s="7" t="str">
        <f>'Product Catalogue'!E23</f>
        <v>Raw Cashew Nuts</v>
      </c>
      <c r="F22" s="7" t="str">
        <f>'Product Catalogue'!F23</f>
        <v>Supplier A</v>
      </c>
      <c r="G22" s="7" t="str">
        <f>'Product Catalogue'!G23</f>
        <v>Outturn 48 lbs; KOR 52%</v>
      </c>
      <c r="H22" s="7" t="str">
        <f>'Product Catalogue'!L23</f>
        <v>Active</v>
      </c>
      <c r="I22" s="26" t="str">
        <f t="shared" si="0"/>
        <v>Complete</v>
      </c>
      <c r="J22" s="26" t="str">
        <f t="shared" si="1"/>
        <v>Pass</v>
      </c>
      <c r="K22" s="26" t="str">
        <f t="shared" si="2"/>
        <v>Pass</v>
      </c>
      <c r="L22" s="26" t="str">
        <f t="shared" si="3"/>
        <v>Approved</v>
      </c>
      <c r="M22" s="26"/>
      <c r="N22" s="26"/>
      <c r="O22" s="26"/>
    </row>
    <row r="23" spans="1:15" x14ac:dyDescent="0.25">
      <c r="A23" s="7" t="str">
        <f>'Product Catalogue'!A24</f>
        <v>AGR-CAS-002</v>
      </c>
      <c r="B23" s="7" t="str">
        <f>'Product Catalogue'!B24</f>
        <v>Raw Cashew Nuts</v>
      </c>
      <c r="C23" s="7" t="str">
        <f>'Product Catalogue'!C24</f>
        <v>Agricultural Products</v>
      </c>
      <c r="D23" s="7" t="str">
        <f>'Product Catalogue'!D24</f>
        <v>Cashew</v>
      </c>
      <c r="E23" s="7" t="str">
        <f>'Product Catalogue'!E24</f>
        <v>Raw Cashew Nuts</v>
      </c>
      <c r="F23" s="7" t="str">
        <f>'Product Catalogue'!F24</f>
        <v>Supplier B</v>
      </c>
      <c r="G23" s="7" t="str">
        <f>'Product Catalogue'!G24</f>
        <v>Outturn 50 lbs; KOR 52%</v>
      </c>
      <c r="H23" s="7" t="str">
        <f>'Product Catalogue'!L24</f>
        <v>Active</v>
      </c>
      <c r="I23" s="26" t="str">
        <f t="shared" si="0"/>
        <v>Complete</v>
      </c>
      <c r="J23" s="26" t="str">
        <f t="shared" si="1"/>
        <v>Pass</v>
      </c>
      <c r="K23" s="26" t="str">
        <f t="shared" si="2"/>
        <v>Pass</v>
      </c>
      <c r="L23" s="26" t="str">
        <f t="shared" si="3"/>
        <v>Approved</v>
      </c>
      <c r="M23" s="26"/>
      <c r="N23" s="26"/>
      <c r="O23" s="26"/>
    </row>
    <row r="24" spans="1:15" x14ac:dyDescent="0.25">
      <c r="A24" s="7" t="str">
        <f>'Product Catalogue'!A25</f>
        <v>AGR-SES-001</v>
      </c>
      <c r="B24" s="7" t="str">
        <f>'Product Catalogue'!B25</f>
        <v>Natural Sesame Seeds</v>
      </c>
      <c r="C24" s="7" t="str">
        <f>'Product Catalogue'!C25</f>
        <v>Agricultural Products</v>
      </c>
      <c r="D24" s="7" t="str">
        <f>'Product Catalogue'!D25</f>
        <v>Sesame</v>
      </c>
      <c r="E24" s="7" t="str">
        <f>'Product Catalogue'!E25</f>
        <v>Natural Sesame</v>
      </c>
      <c r="F24" s="7" t="str">
        <f>'Product Catalogue'!F25</f>
        <v>Supplier D</v>
      </c>
      <c r="G24" s="7" t="str">
        <f>'Product Catalogue'!G25</f>
        <v>99.95% Purity</v>
      </c>
      <c r="H24" s="7" t="str">
        <f>'Product Catalogue'!L25</f>
        <v>Active</v>
      </c>
      <c r="I24" s="26" t="str">
        <f t="shared" si="0"/>
        <v>Complete</v>
      </c>
      <c r="J24" s="26" t="str">
        <f t="shared" si="1"/>
        <v>Pass</v>
      </c>
      <c r="K24" s="26" t="str">
        <f t="shared" si="2"/>
        <v>Pass</v>
      </c>
      <c r="L24" s="26" t="str">
        <f t="shared" si="3"/>
        <v>Approved</v>
      </c>
      <c r="M24" s="26"/>
      <c r="N24" s="26"/>
      <c r="O24" s="26"/>
    </row>
    <row r="25" spans="1:15" x14ac:dyDescent="0.25">
      <c r="A25" s="7" t="str">
        <f>'Product Catalogue'!A26</f>
        <v>AGR-SES-002</v>
      </c>
      <c r="B25" s="7" t="str">
        <f>'Product Catalogue'!B26</f>
        <v>Hulled Sesame Seeds</v>
      </c>
      <c r="C25" s="7" t="str">
        <f>'Product Catalogue'!C26</f>
        <v>Agricultural Products</v>
      </c>
      <c r="D25" s="7" t="str">
        <f>'Product Catalogue'!D26</f>
        <v>Sesame</v>
      </c>
      <c r="E25" s="7" t="str">
        <f>'Product Catalogue'!E26</f>
        <v>Hulled Sesame</v>
      </c>
      <c r="F25" s="7" t="str">
        <f>'Product Catalogue'!F26</f>
        <v>Supplier E</v>
      </c>
      <c r="G25" s="7" t="str">
        <f>'Product Catalogue'!G26</f>
        <v>99.95% Purity; Hulled</v>
      </c>
      <c r="H25" s="7" t="str">
        <f>'Product Catalogue'!L26</f>
        <v>Active</v>
      </c>
      <c r="I25" s="26" t="str">
        <f t="shared" si="0"/>
        <v>Complete</v>
      </c>
      <c r="J25" s="26" t="str">
        <f t="shared" si="1"/>
        <v>Pass</v>
      </c>
      <c r="K25" s="26" t="str">
        <f t="shared" si="2"/>
        <v>Pass</v>
      </c>
      <c r="L25" s="26" t="str">
        <f t="shared" si="3"/>
        <v>Approved</v>
      </c>
      <c r="M25" s="26"/>
      <c r="N25" s="26"/>
      <c r="O25" s="26"/>
    </row>
    <row r="26" spans="1:15" x14ac:dyDescent="0.25">
      <c r="A26" s="7" t="str">
        <f>'Product Catalogue'!A27</f>
        <v>AGR-COC-001</v>
      </c>
      <c r="B26" s="7" t="str">
        <f>'Product Catalogue'!B27</f>
        <v>Dried Coconut Chips</v>
      </c>
      <c r="C26" s="7" t="str">
        <f>'Product Catalogue'!C27</f>
        <v>Agricultural Products</v>
      </c>
      <c r="D26" s="7" t="str">
        <f>'Product Catalogue'!D27</f>
        <v>Coconut</v>
      </c>
      <c r="E26" s="7" t="str">
        <f>'Product Catalogue'!E27</f>
        <v>Dried Coconut</v>
      </c>
      <c r="F26" s="7" t="str">
        <f>'Product Catalogue'!F27</f>
        <v>Supplier F</v>
      </c>
      <c r="G26" s="7" t="str">
        <f>'Product Catalogue'!G27</f>
        <v>Moisture ≤5%</v>
      </c>
      <c r="H26" s="7" t="str">
        <f>'Product Catalogue'!L27</f>
        <v>Active</v>
      </c>
      <c r="I26" s="26" t="str">
        <f t="shared" si="0"/>
        <v>Complete</v>
      </c>
      <c r="J26" s="26" t="str">
        <f t="shared" si="1"/>
        <v>Pass</v>
      </c>
      <c r="K26" s="26" t="str">
        <f t="shared" si="2"/>
        <v>Pass</v>
      </c>
      <c r="L26" s="26" t="str">
        <f t="shared" si="3"/>
        <v>Approved</v>
      </c>
      <c r="M26" s="26"/>
      <c r="N26" s="26"/>
      <c r="O26" s="26"/>
    </row>
    <row r="27" spans="1:15" x14ac:dyDescent="0.25">
      <c r="A27" s="7" t="str">
        <f>'Product Catalogue'!A28</f>
        <v>AGR-COC-002</v>
      </c>
      <c r="B27" s="7" t="str">
        <f>'Product Catalogue'!B28</f>
        <v>Desiccated Coconut</v>
      </c>
      <c r="C27" s="7" t="str">
        <f>'Product Catalogue'!C28</f>
        <v>Agricultural Products</v>
      </c>
      <c r="D27" s="7" t="str">
        <f>'Product Catalogue'!D28</f>
        <v>Coconut</v>
      </c>
      <c r="E27" s="7" t="str">
        <f>'Product Catalogue'!E28</f>
        <v>Desiccated Coconut</v>
      </c>
      <c r="F27" s="7" t="str">
        <f>'Product Catalogue'!F28</f>
        <v>Supplier G</v>
      </c>
      <c r="G27" s="7" t="str">
        <f>'Product Catalogue'!G28</f>
        <v>Fine Grade; Moisture ≤3%</v>
      </c>
      <c r="H27" s="7" t="str">
        <f>'Product Catalogue'!L28</f>
        <v>Active</v>
      </c>
      <c r="I27" s="26" t="str">
        <f t="shared" si="0"/>
        <v>Complete</v>
      </c>
      <c r="J27" s="26" t="str">
        <f t="shared" si="1"/>
        <v>Pass</v>
      </c>
      <c r="K27" s="26" t="str">
        <f t="shared" si="2"/>
        <v>Pass</v>
      </c>
      <c r="L27" s="26" t="str">
        <f t="shared" si="3"/>
        <v>Approved</v>
      </c>
      <c r="M27" s="26"/>
      <c r="N27" s="26"/>
      <c r="O27" s="26"/>
    </row>
    <row r="28" spans="1:15" x14ac:dyDescent="0.25">
      <c r="A28" s="7" t="str">
        <f>'Product Catalogue'!A29</f>
        <v>AGR-COA-001</v>
      </c>
      <c r="B28" s="7" t="str">
        <f>'Product Catalogue'!B29</f>
        <v>Cocoa Beans</v>
      </c>
      <c r="C28" s="7" t="str">
        <f>'Product Catalogue'!C29</f>
        <v>Agricultural Products</v>
      </c>
      <c r="D28" s="7" t="str">
        <f>'Product Catalogue'!D29</f>
        <v>Cocoa</v>
      </c>
      <c r="E28" s="7" t="str">
        <f>'Product Catalogue'!E29</f>
        <v>Fermented Cocoa Beans</v>
      </c>
      <c r="F28" s="7" t="str">
        <f>'Product Catalogue'!F29</f>
        <v>Supplier H</v>
      </c>
      <c r="G28" s="7" t="str">
        <f>'Product Catalogue'!G29</f>
        <v>Grade 1; Fermented</v>
      </c>
      <c r="H28" s="7" t="str">
        <f>'Product Catalogue'!L29</f>
        <v>Active</v>
      </c>
      <c r="I28" s="26" t="str">
        <f t="shared" si="0"/>
        <v>Complete</v>
      </c>
      <c r="J28" s="26" t="str">
        <f t="shared" si="1"/>
        <v>Pass</v>
      </c>
      <c r="K28" s="26" t="str">
        <f t="shared" si="2"/>
        <v>Pass</v>
      </c>
      <c r="L28" s="26" t="str">
        <f t="shared" si="3"/>
        <v>Approved</v>
      </c>
      <c r="M28" s="26"/>
      <c r="N28" s="26"/>
      <c r="O28" s="26"/>
    </row>
    <row r="29" spans="1:15" x14ac:dyDescent="0.25">
      <c r="A29" s="7" t="str">
        <f>'Product Catalogue'!A30</f>
        <v>AGR-COA-002</v>
      </c>
      <c r="B29" s="7" t="str">
        <f>'Product Catalogue'!B30</f>
        <v>Cocoa Beans</v>
      </c>
      <c r="C29" s="7" t="str">
        <f>'Product Catalogue'!C30</f>
        <v>Agricultural Products</v>
      </c>
      <c r="D29" s="7" t="str">
        <f>'Product Catalogue'!D30</f>
        <v>Cocoa</v>
      </c>
      <c r="E29" s="7" t="str">
        <f>'Product Catalogue'!E30</f>
        <v>Fermented Cocoa Beans</v>
      </c>
      <c r="F29" s="7" t="str">
        <f>'Product Catalogue'!F30</f>
        <v>Supplier I</v>
      </c>
      <c r="G29" s="7" t="str">
        <f>'Product Catalogue'!G30</f>
        <v>Grade 2; Fermented</v>
      </c>
      <c r="H29" s="7" t="str">
        <f>'Product Catalogue'!L30</f>
        <v>Active</v>
      </c>
      <c r="I29" s="26" t="str">
        <f t="shared" si="0"/>
        <v>Complete</v>
      </c>
      <c r="J29" s="26" t="str">
        <f t="shared" si="1"/>
        <v>Pass</v>
      </c>
      <c r="K29" s="26" t="str">
        <f t="shared" si="2"/>
        <v>Pass</v>
      </c>
      <c r="L29" s="26" t="str">
        <f t="shared" si="3"/>
        <v>Approved</v>
      </c>
      <c r="M29" s="26"/>
      <c r="N29" s="26"/>
      <c r="O29" s="26"/>
    </row>
    <row r="30" spans="1:15" x14ac:dyDescent="0.25">
      <c r="A30" s="7" t="str">
        <f>'Product Catalogue'!A31</f>
        <v>AGR-GIN-001</v>
      </c>
      <c r="B30" s="7" t="str">
        <f>'Product Catalogue'!B31</f>
        <v>Dried Ginger</v>
      </c>
      <c r="C30" s="7" t="str">
        <f>'Product Catalogue'!C31</f>
        <v>Agricultural Products</v>
      </c>
      <c r="D30" s="7" t="str">
        <f>'Product Catalogue'!D31</f>
        <v>Spices</v>
      </c>
      <c r="E30" s="7" t="str">
        <f>'Product Catalogue'!E31</f>
        <v>Whole Dried Ginger</v>
      </c>
      <c r="F30" s="7" t="str">
        <f>'Product Catalogue'!F31</f>
        <v>Supplier J</v>
      </c>
      <c r="G30" s="7" t="str">
        <f>'Product Catalogue'!G31</f>
        <v>Cleaned; Moisture ≤10%</v>
      </c>
      <c r="H30" s="7" t="str">
        <f>'Product Catalogue'!L31</f>
        <v>Active</v>
      </c>
      <c r="I30" s="26" t="str">
        <f t="shared" si="0"/>
        <v>Complete</v>
      </c>
      <c r="J30" s="26" t="str">
        <f t="shared" si="1"/>
        <v>Pass</v>
      </c>
      <c r="K30" s="26" t="str">
        <f t="shared" si="2"/>
        <v>Pass</v>
      </c>
      <c r="L30" s="26" t="str">
        <f t="shared" si="3"/>
        <v>Approved</v>
      </c>
      <c r="M30" s="26"/>
      <c r="N30" s="26"/>
      <c r="O30" s="26"/>
    </row>
    <row r="31" spans="1:15" x14ac:dyDescent="0.25">
      <c r="A31" s="7" t="str">
        <f>'Product Catalogue'!A32</f>
        <v>AGR-GIN-002</v>
      </c>
      <c r="B31" s="7" t="str">
        <f>'Product Catalogue'!B32</f>
        <v>Ginger Powder</v>
      </c>
      <c r="C31" s="7" t="str">
        <f>'Product Catalogue'!C32</f>
        <v>Agricultural Products</v>
      </c>
      <c r="D31" s="7" t="str">
        <f>'Product Catalogue'!D32</f>
        <v>Spices</v>
      </c>
      <c r="E31" s="7" t="str">
        <f>'Product Catalogue'!E32</f>
        <v>Ginger Powder</v>
      </c>
      <c r="F31" s="7" t="str">
        <f>'Product Catalogue'!F32</f>
        <v>Supplier A</v>
      </c>
      <c r="G31" s="7" t="str">
        <f>'Product Catalogue'!G32</f>
        <v>Fine Powder; Food Grade</v>
      </c>
      <c r="H31" s="7" t="str">
        <f>'Product Catalogue'!L32</f>
        <v>Active</v>
      </c>
      <c r="I31" s="26" t="str">
        <f t="shared" si="0"/>
        <v>Complete</v>
      </c>
      <c r="J31" s="26" t="str">
        <f t="shared" si="1"/>
        <v>Pass</v>
      </c>
      <c r="K31" s="26" t="str">
        <f t="shared" si="2"/>
        <v>Pass</v>
      </c>
      <c r="L31" s="26" t="str">
        <f t="shared" si="3"/>
        <v>Approved</v>
      </c>
      <c r="M31" s="26"/>
      <c r="N31" s="26"/>
      <c r="O31" s="26"/>
    </row>
    <row r="32" spans="1:15" x14ac:dyDescent="0.25">
      <c r="A32" s="7" t="str">
        <f>'Product Catalogue'!A33</f>
        <v>MIN-GOL-001</v>
      </c>
      <c r="B32" s="7" t="str">
        <f>'Product Catalogue'!B33</f>
        <v>Gold Bars</v>
      </c>
      <c r="C32" s="7" t="str">
        <f>'Product Catalogue'!C33</f>
        <v>Minerals &amp; Metals</v>
      </c>
      <c r="D32" s="7" t="str">
        <f>'Product Catalogue'!D33</f>
        <v>Gold</v>
      </c>
      <c r="E32" s="7" t="str">
        <f>'Product Catalogue'!E33</f>
        <v>Gold Bar</v>
      </c>
      <c r="F32" s="7" t="str">
        <f>'Product Catalogue'!F33</f>
        <v>Supplier B</v>
      </c>
      <c r="G32" s="7" t="str">
        <f>'Product Catalogue'!G33</f>
        <v>99.99% Purity</v>
      </c>
      <c r="H32" s="7" t="str">
        <f>'Product Catalogue'!L33</f>
        <v>Active</v>
      </c>
      <c r="I32" s="26" t="str">
        <f t="shared" si="0"/>
        <v>Complete</v>
      </c>
      <c r="J32" s="26" t="str">
        <f t="shared" si="1"/>
        <v>Pass</v>
      </c>
      <c r="K32" s="26" t="str">
        <f t="shared" si="2"/>
        <v>Pass</v>
      </c>
      <c r="L32" s="26" t="str">
        <f t="shared" si="3"/>
        <v>Approved</v>
      </c>
      <c r="M32" s="26"/>
      <c r="N32" s="26"/>
      <c r="O32" s="26"/>
    </row>
    <row r="33" spans="1:15" x14ac:dyDescent="0.25">
      <c r="A33" s="7" t="str">
        <f>'Product Catalogue'!A34</f>
        <v>MIN-GOL-002</v>
      </c>
      <c r="B33" s="7" t="str">
        <f>'Product Catalogue'!B34</f>
        <v>Gold Nuggets</v>
      </c>
      <c r="C33" s="7" t="str">
        <f>'Product Catalogue'!C34</f>
        <v>Minerals &amp; Metals</v>
      </c>
      <c r="D33" s="7" t="str">
        <f>'Product Catalogue'!D34</f>
        <v>Gold</v>
      </c>
      <c r="E33" s="7" t="str">
        <f>'Product Catalogue'!E34</f>
        <v>Gold Nugget</v>
      </c>
      <c r="F33" s="7" t="str">
        <f>'Product Catalogue'!F34</f>
        <v>Supplier C</v>
      </c>
      <c r="G33" s="7" t="str">
        <f>'Product Catalogue'!G34</f>
        <v>97%+ Purity</v>
      </c>
      <c r="H33" s="7" t="str">
        <f>'Product Catalogue'!L34</f>
        <v>Review</v>
      </c>
      <c r="I33" s="26" t="str">
        <f t="shared" si="0"/>
        <v>Complete</v>
      </c>
      <c r="J33" s="26" t="str">
        <f t="shared" si="1"/>
        <v>Pass</v>
      </c>
      <c r="K33" s="26" t="str">
        <f t="shared" si="2"/>
        <v>Pass</v>
      </c>
      <c r="L33" s="26" t="str">
        <f t="shared" si="3"/>
        <v>Approved</v>
      </c>
      <c r="M33" s="26"/>
      <c r="N33" s="26"/>
      <c r="O33" s="26"/>
    </row>
    <row r="34" spans="1:15" x14ac:dyDescent="0.25">
      <c r="A34" s="7" t="str">
        <f>'Product Catalogue'!A35</f>
        <v>MIN-ALU-001</v>
      </c>
      <c r="B34" s="7" t="str">
        <f>'Product Catalogue'!B35</f>
        <v>Aluminium Ingots</v>
      </c>
      <c r="C34" s="7" t="str">
        <f>'Product Catalogue'!C35</f>
        <v>Minerals &amp; Metals</v>
      </c>
      <c r="D34" s="7" t="str">
        <f>'Product Catalogue'!D35</f>
        <v>Aluminium</v>
      </c>
      <c r="E34" s="7" t="str">
        <f>'Product Catalogue'!E35</f>
        <v>Aluminium Ingot</v>
      </c>
      <c r="F34" s="7" t="str">
        <f>'Product Catalogue'!F35</f>
        <v>Supplier D</v>
      </c>
      <c r="G34" s="7" t="str">
        <f>'Product Catalogue'!G35</f>
        <v>Primary; 99.7%</v>
      </c>
      <c r="H34" s="7" t="str">
        <f>'Product Catalogue'!L35</f>
        <v>Active</v>
      </c>
      <c r="I34" s="26" t="str">
        <f t="shared" si="0"/>
        <v>Complete</v>
      </c>
      <c r="J34" s="26" t="str">
        <f t="shared" si="1"/>
        <v>Pass</v>
      </c>
      <c r="K34" s="26" t="str">
        <f t="shared" si="2"/>
        <v>Pass</v>
      </c>
      <c r="L34" s="26" t="str">
        <f t="shared" si="3"/>
        <v>Approved</v>
      </c>
      <c r="M34" s="26"/>
      <c r="N34" s="26"/>
      <c r="O34" s="26"/>
    </row>
    <row r="35" spans="1:15" x14ac:dyDescent="0.25">
      <c r="A35" s="7" t="str">
        <f>'Product Catalogue'!A36</f>
        <v>MIN-COP-001</v>
      </c>
      <c r="B35" s="7" t="str">
        <f>'Product Catalogue'!B36</f>
        <v>Copper Cathodes</v>
      </c>
      <c r="C35" s="7" t="str">
        <f>'Product Catalogue'!C36</f>
        <v>Minerals &amp; Metals</v>
      </c>
      <c r="D35" s="7" t="str">
        <f>'Product Catalogue'!D36</f>
        <v>Copper</v>
      </c>
      <c r="E35" s="7" t="str">
        <f>'Product Catalogue'!E36</f>
        <v>Copper Cathode</v>
      </c>
      <c r="F35" s="7" t="str">
        <f>'Product Catalogue'!F36</f>
        <v>Supplier E</v>
      </c>
      <c r="G35" s="7" t="str">
        <f>'Product Catalogue'!G36</f>
        <v>Grade A; 99.99%</v>
      </c>
      <c r="H35" s="7" t="str">
        <f>'Product Catalogue'!L36</f>
        <v>Active</v>
      </c>
      <c r="I35" s="26" t="str">
        <f t="shared" si="0"/>
        <v>Complete</v>
      </c>
      <c r="J35" s="26" t="str">
        <f t="shared" si="1"/>
        <v>Pass</v>
      </c>
      <c r="K35" s="26" t="str">
        <f t="shared" si="2"/>
        <v>Pass</v>
      </c>
      <c r="L35" s="26" t="str">
        <f t="shared" si="3"/>
        <v>Approved</v>
      </c>
      <c r="M35" s="26"/>
      <c r="N35" s="26"/>
      <c r="O35" s="26"/>
    </row>
    <row r="36" spans="1:15" x14ac:dyDescent="0.25">
      <c r="A36" s="7" t="str">
        <f>'Product Catalogue'!A37</f>
        <v>PAC-BAG-001</v>
      </c>
      <c r="B36" s="7" t="str">
        <f>'Product Catalogue'!B37</f>
        <v>PP Woven Bags</v>
      </c>
      <c r="C36" s="7" t="str">
        <f>'Product Catalogue'!C37</f>
        <v>Packaging</v>
      </c>
      <c r="D36" s="7" t="str">
        <f>'Product Catalogue'!D37</f>
        <v>Bags</v>
      </c>
      <c r="E36" s="7" t="str">
        <f>'Product Catalogue'!E37</f>
        <v>Woven PP Bag</v>
      </c>
      <c r="F36" s="7" t="str">
        <f>'Product Catalogue'!F37</f>
        <v>Supplier F</v>
      </c>
      <c r="G36" s="7" t="str">
        <f>'Product Catalogue'!G37</f>
        <v>50kg; Plain White</v>
      </c>
      <c r="H36" s="7" t="str">
        <f>'Product Catalogue'!L37</f>
        <v>Active</v>
      </c>
      <c r="I36" s="26" t="str">
        <f t="shared" si="0"/>
        <v>Complete</v>
      </c>
      <c r="J36" s="26" t="str">
        <f t="shared" si="1"/>
        <v>Pass</v>
      </c>
      <c r="K36" s="26" t="str">
        <f t="shared" si="2"/>
        <v>Pass</v>
      </c>
      <c r="L36" s="26" t="str">
        <f t="shared" si="3"/>
        <v>Approved</v>
      </c>
      <c r="M36" s="26"/>
      <c r="N36" s="26"/>
      <c r="O36" s="26"/>
    </row>
    <row r="37" spans="1:15" x14ac:dyDescent="0.25">
      <c r="A37" s="7" t="str">
        <f>'Product Catalogue'!A38</f>
        <v>PAC-BAG-002</v>
      </c>
      <c r="B37" s="7" t="str">
        <f>'Product Catalogue'!B38</f>
        <v>PP Woven Bags</v>
      </c>
      <c r="C37" s="7" t="str">
        <f>'Product Catalogue'!C38</f>
        <v>Packaging</v>
      </c>
      <c r="D37" s="7" t="str">
        <f>'Product Catalogue'!D38</f>
        <v>Bags</v>
      </c>
      <c r="E37" s="7" t="str">
        <f>'Product Catalogue'!E38</f>
        <v>Printed Woven PP Bag</v>
      </c>
      <c r="F37" s="7" t="str">
        <f>'Product Catalogue'!F38</f>
        <v>Supplier G</v>
      </c>
      <c r="G37" s="7" t="str">
        <f>'Product Catalogue'!G38</f>
        <v>50kg; Printed</v>
      </c>
      <c r="H37" s="7" t="str">
        <f>'Product Catalogue'!L38</f>
        <v>Active</v>
      </c>
      <c r="I37" s="26" t="str">
        <f t="shared" si="0"/>
        <v>Complete</v>
      </c>
      <c r="J37" s="26" t="str">
        <f t="shared" si="1"/>
        <v>Pass</v>
      </c>
      <c r="K37" s="26" t="str">
        <f t="shared" si="2"/>
        <v>Pass</v>
      </c>
      <c r="L37" s="26" t="str">
        <f t="shared" si="3"/>
        <v>Approved</v>
      </c>
      <c r="M37" s="26"/>
      <c r="N37" s="26"/>
      <c r="O37" s="26"/>
    </row>
    <row r="38" spans="1:15" x14ac:dyDescent="0.25">
      <c r="A38" s="7" t="str">
        <f>'Product Catalogue'!A39</f>
        <v>PAC-JUM-001</v>
      </c>
      <c r="B38" s="7" t="str">
        <f>'Product Catalogue'!B39</f>
        <v>FIBC Jumbo Bag</v>
      </c>
      <c r="C38" s="7" t="str">
        <f>'Product Catalogue'!C39</f>
        <v>Packaging</v>
      </c>
      <c r="D38" s="7" t="str">
        <f>'Product Catalogue'!D39</f>
        <v>Jumbo Bags</v>
      </c>
      <c r="E38" s="7" t="str">
        <f>'Product Catalogue'!E39</f>
        <v>FIBC Jumbo Bag</v>
      </c>
      <c r="F38" s="7" t="str">
        <f>'Product Catalogue'!F39</f>
        <v>Supplier H</v>
      </c>
      <c r="G38" s="7" t="str">
        <f>'Product Catalogue'!G39</f>
        <v>1 MT SWL</v>
      </c>
      <c r="H38" s="7" t="str">
        <f>'Product Catalogue'!L39</f>
        <v>Active</v>
      </c>
      <c r="I38" s="26" t="str">
        <f t="shared" si="0"/>
        <v>Complete</v>
      </c>
      <c r="J38" s="26" t="str">
        <f t="shared" si="1"/>
        <v>Pass</v>
      </c>
      <c r="K38" s="26" t="str">
        <f t="shared" si="2"/>
        <v>Pass</v>
      </c>
      <c r="L38" s="26" t="str">
        <f t="shared" si="3"/>
        <v>Approved</v>
      </c>
      <c r="M38" s="26"/>
      <c r="N38" s="26"/>
      <c r="O38" s="26"/>
    </row>
    <row r="39" spans="1:15" x14ac:dyDescent="0.25">
      <c r="A39" s="7" t="str">
        <f>'Product Catalogue'!A40</f>
        <v>PAC-JUM-002</v>
      </c>
      <c r="B39" s="7" t="str">
        <f>'Product Catalogue'!B40</f>
        <v>FIBC Big Bag</v>
      </c>
      <c r="C39" s="7" t="str">
        <f>'Product Catalogue'!C40</f>
        <v>Packaging</v>
      </c>
      <c r="D39" s="7" t="str">
        <f>'Product Catalogue'!D40</f>
        <v>Jumbo Bags</v>
      </c>
      <c r="E39" s="7" t="str">
        <f>'Product Catalogue'!E40</f>
        <v>FIBC Jumbo Bag</v>
      </c>
      <c r="F39" s="7" t="str">
        <f>'Product Catalogue'!F40</f>
        <v>Supplier I</v>
      </c>
      <c r="G39" s="7" t="str">
        <f>'Product Catalogue'!G40</f>
        <v>1 MT SWL</v>
      </c>
      <c r="H39" s="7" t="str">
        <f>'Product Catalogue'!L40</f>
        <v>Duplicate Review</v>
      </c>
      <c r="I39" s="26" t="str">
        <f t="shared" si="0"/>
        <v>Complete</v>
      </c>
      <c r="J39" s="26" t="str">
        <f t="shared" si="1"/>
        <v>Pass</v>
      </c>
      <c r="K39" s="26" t="str">
        <f t="shared" si="2"/>
        <v>Pass</v>
      </c>
      <c r="L39" s="26" t="str">
        <f t="shared" si="3"/>
        <v>Approved</v>
      </c>
      <c r="M39" s="26"/>
      <c r="N39" s="26"/>
      <c r="O39" s="26"/>
    </row>
    <row r="40" spans="1:15" x14ac:dyDescent="0.25">
      <c r="A40" s="7" t="str">
        <f>'Product Catalogue'!A41</f>
        <v>CHE-CAU-001</v>
      </c>
      <c r="B40" s="7" t="str">
        <f>'Product Catalogue'!B41</f>
        <v>Caustic Soda Flakes</v>
      </c>
      <c r="C40" s="7" t="str">
        <f>'Product Catalogue'!C41</f>
        <v>Industrial Materials</v>
      </c>
      <c r="D40" s="7" t="str">
        <f>'Product Catalogue'!D41</f>
        <v>Caustic Soda</v>
      </c>
      <c r="E40" s="7" t="str">
        <f>'Product Catalogue'!E41</f>
        <v>Caustic Soda Flakes</v>
      </c>
      <c r="F40" s="7" t="str">
        <f>'Product Catalogue'!F41</f>
        <v>Supplier J</v>
      </c>
      <c r="G40" s="7" t="str">
        <f>'Product Catalogue'!G41</f>
        <v>99% Purity; 25kg Bags</v>
      </c>
      <c r="H40" s="7" t="str">
        <f>'Product Catalogue'!L41</f>
        <v>Active</v>
      </c>
      <c r="I40" s="26" t="str">
        <f t="shared" si="0"/>
        <v>Complete</v>
      </c>
      <c r="J40" s="26" t="str">
        <f t="shared" si="1"/>
        <v>Pass</v>
      </c>
      <c r="K40" s="26" t="str">
        <f t="shared" si="2"/>
        <v>Pass</v>
      </c>
      <c r="L40" s="26" t="str">
        <f t="shared" si="3"/>
        <v>Approved</v>
      </c>
      <c r="M40" s="26"/>
      <c r="N40" s="26"/>
      <c r="O40" s="26"/>
    </row>
    <row r="41" spans="1:15" x14ac:dyDescent="0.25">
      <c r="A41" s="7" t="str">
        <f>'Product Catalogue'!A42</f>
        <v>CHE-SOD-001</v>
      </c>
      <c r="B41" s="7" t="str">
        <f>'Product Catalogue'!B42</f>
        <v>Sodium Carbonate Light</v>
      </c>
      <c r="C41" s="7" t="str">
        <f>'Product Catalogue'!C42</f>
        <v>Industrial Materials</v>
      </c>
      <c r="D41" s="7" t="str">
        <f>'Product Catalogue'!D42</f>
        <v>Sodium Products</v>
      </c>
      <c r="E41" s="7" t="str">
        <f>'Product Catalogue'!E42</f>
        <v>Soda Ash Light</v>
      </c>
      <c r="F41" s="7" t="str">
        <f>'Product Catalogue'!F42</f>
        <v>Supplier A</v>
      </c>
      <c r="G41" s="7" t="str">
        <f>'Product Catalogue'!G42</f>
        <v>99.2% Purity</v>
      </c>
      <c r="H41" s="7" t="str">
        <f>'Product Catalogue'!L42</f>
        <v>Active</v>
      </c>
      <c r="I41" s="26" t="str">
        <f t="shared" si="0"/>
        <v>Complete</v>
      </c>
      <c r="J41" s="26" t="str">
        <f t="shared" si="1"/>
        <v>Pass</v>
      </c>
      <c r="K41" s="26" t="str">
        <f t="shared" si="2"/>
        <v>Pass</v>
      </c>
      <c r="L41" s="26" t="str">
        <f t="shared" si="3"/>
        <v>Approved</v>
      </c>
      <c r="M41" s="26"/>
      <c r="N41" s="26"/>
      <c r="O41" s="26"/>
    </row>
    <row r="42" spans="1:15" x14ac:dyDescent="0.25">
      <c r="A42" s="7" t="str">
        <f>'Product Catalogue'!A43</f>
        <v>CHE-SOD-002</v>
      </c>
      <c r="B42" s="7" t="str">
        <f>'Product Catalogue'!B43</f>
        <v>Soda Ash Dense</v>
      </c>
      <c r="C42" s="7" t="str">
        <f>'Product Catalogue'!C43</f>
        <v>Industrial Materials</v>
      </c>
      <c r="D42" s="7" t="str">
        <f>'Product Catalogue'!D43</f>
        <v>Sodium Products</v>
      </c>
      <c r="E42" s="7" t="str">
        <f>'Product Catalogue'!E43</f>
        <v>Soda Ash Dense</v>
      </c>
      <c r="F42" s="7" t="str">
        <f>'Product Catalogue'!F43</f>
        <v>Supplier B</v>
      </c>
      <c r="G42" s="7" t="str">
        <f>'Product Catalogue'!G43</f>
        <v>99.2% Purity</v>
      </c>
      <c r="H42" s="7" t="str">
        <f>'Product Catalogue'!L43</f>
        <v>Active</v>
      </c>
      <c r="I42" s="26" t="str">
        <f t="shared" si="0"/>
        <v>Complete</v>
      </c>
      <c r="J42" s="26" t="str">
        <f t="shared" si="1"/>
        <v>Pass</v>
      </c>
      <c r="K42" s="26" t="str">
        <f t="shared" si="2"/>
        <v>Pass</v>
      </c>
      <c r="L42" s="26" t="str">
        <f t="shared" si="3"/>
        <v>Approved</v>
      </c>
      <c r="M42" s="26"/>
      <c r="N42" s="26"/>
      <c r="O42" s="26"/>
    </row>
    <row r="43" spans="1:15" x14ac:dyDescent="0.25">
      <c r="A43" s="7" t="str">
        <f>'Product Catalogue'!A44</f>
        <v>PUL-WOD-001</v>
      </c>
      <c r="B43" s="7" t="str">
        <f>'Product Catalogue'!B44</f>
        <v>Bleached Kraft Pulp</v>
      </c>
      <c r="C43" s="7" t="str">
        <f>'Product Catalogue'!C44</f>
        <v>Paper &amp; Pulp</v>
      </c>
      <c r="D43" s="7" t="str">
        <f>'Product Catalogue'!D44</f>
        <v>Wood Pulp</v>
      </c>
      <c r="E43" s="7" t="str">
        <f>'Product Catalogue'!E44</f>
        <v>Bleached Kraft Pulp</v>
      </c>
      <c r="F43" s="7" t="str">
        <f>'Product Catalogue'!F44</f>
        <v>Supplier C</v>
      </c>
      <c r="G43" s="7" t="str">
        <f>'Product Catalogue'!G44</f>
        <v>Bale; Brightness 90%+</v>
      </c>
      <c r="H43" s="7" t="str">
        <f>'Product Catalogue'!L44</f>
        <v>Active</v>
      </c>
      <c r="I43" s="26" t="str">
        <f t="shared" si="0"/>
        <v>Complete</v>
      </c>
      <c r="J43" s="26" t="str">
        <f t="shared" si="1"/>
        <v>Pass</v>
      </c>
      <c r="K43" s="26" t="str">
        <f t="shared" si="2"/>
        <v>Pass</v>
      </c>
      <c r="L43" s="26" t="str">
        <f t="shared" si="3"/>
        <v>Approved</v>
      </c>
      <c r="M43" s="26"/>
      <c r="N43" s="26"/>
      <c r="O43" s="26"/>
    </row>
    <row r="44" spans="1:15" x14ac:dyDescent="0.25">
      <c r="A44" s="7" t="str">
        <f>'Product Catalogue'!A45</f>
        <v>PUL-WOD-002</v>
      </c>
      <c r="B44" s="7" t="str">
        <f>'Product Catalogue'!B45</f>
        <v>Hardwood Kraft Pulp</v>
      </c>
      <c r="C44" s="7" t="str">
        <f>'Product Catalogue'!C45</f>
        <v>Paper &amp; Pulp</v>
      </c>
      <c r="D44" s="7" t="str">
        <f>'Product Catalogue'!D45</f>
        <v>Wood Pulp</v>
      </c>
      <c r="E44" s="7" t="str">
        <f>'Product Catalogue'!E45</f>
        <v>Hardwood Kraft Pulp</v>
      </c>
      <c r="F44" s="7" t="str">
        <f>'Product Catalogue'!F45</f>
        <v>Supplier D</v>
      </c>
      <c r="G44" s="7" t="str">
        <f>'Product Catalogue'!G45</f>
        <v>Bale; Hardwood</v>
      </c>
      <c r="H44" s="7" t="str">
        <f>'Product Catalogue'!L45</f>
        <v>Active</v>
      </c>
      <c r="I44" s="26" t="str">
        <f t="shared" si="0"/>
        <v>Complete</v>
      </c>
      <c r="J44" s="26" t="str">
        <f t="shared" si="1"/>
        <v>Pass</v>
      </c>
      <c r="K44" s="26" t="str">
        <f t="shared" si="2"/>
        <v>Pass</v>
      </c>
      <c r="L44" s="26" t="str">
        <f t="shared" si="3"/>
        <v>Approved</v>
      </c>
      <c r="M44" s="26"/>
      <c r="N44" s="26"/>
      <c r="O44" s="26"/>
    </row>
    <row r="45" spans="1:15" x14ac:dyDescent="0.25">
      <c r="A45" s="7" t="str">
        <f>'Product Catalogue'!A46</f>
        <v>TEX-COT-001</v>
      </c>
      <c r="B45" s="7" t="str">
        <f>'Product Catalogue'!B46</f>
        <v>Raw Cotton Bales</v>
      </c>
      <c r="C45" s="7" t="str">
        <f>'Product Catalogue'!C46</f>
        <v>Textiles</v>
      </c>
      <c r="D45" s="7" t="str">
        <f>'Product Catalogue'!D46</f>
        <v>Cotton</v>
      </c>
      <c r="E45" s="7" t="str">
        <f>'Product Catalogue'!E46</f>
        <v>Raw Cotton</v>
      </c>
      <c r="F45" s="7" t="str">
        <f>'Product Catalogue'!F46</f>
        <v>Supplier E</v>
      </c>
      <c r="G45" s="7" t="str">
        <f>'Product Catalogue'!G46</f>
        <v>Middling; 1-1/8 inch</v>
      </c>
      <c r="H45" s="7" t="str">
        <f>'Product Catalogue'!L46</f>
        <v>Active</v>
      </c>
      <c r="I45" s="26" t="str">
        <f t="shared" si="0"/>
        <v>Complete</v>
      </c>
      <c r="J45" s="26" t="str">
        <f t="shared" si="1"/>
        <v>Pass</v>
      </c>
      <c r="K45" s="26" t="str">
        <f t="shared" si="2"/>
        <v>Pass</v>
      </c>
      <c r="L45" s="26" t="str">
        <f t="shared" si="3"/>
        <v>Approved</v>
      </c>
      <c r="M45" s="26"/>
      <c r="N45" s="26"/>
      <c r="O45" s="26"/>
    </row>
    <row r="46" spans="1:15" x14ac:dyDescent="0.25">
      <c r="A46" s="7" t="str">
        <f>'Product Catalogue'!A47</f>
        <v>TEX-COT-002</v>
      </c>
      <c r="B46" s="7" t="str">
        <f>'Product Catalogue'!B47</f>
        <v>Cotton Lint</v>
      </c>
      <c r="C46" s="7" t="str">
        <f>'Product Catalogue'!C47</f>
        <v>Textiles</v>
      </c>
      <c r="D46" s="7" t="str">
        <f>'Product Catalogue'!D47</f>
        <v>Cotton</v>
      </c>
      <c r="E46" s="7" t="str">
        <f>'Product Catalogue'!E47</f>
        <v>Cotton Lint</v>
      </c>
      <c r="F46" s="7" t="str">
        <f>'Product Catalogue'!F47</f>
        <v>Supplier F</v>
      </c>
      <c r="G46" s="7" t="str">
        <f>'Product Catalogue'!G47</f>
        <v>Middling Grade</v>
      </c>
      <c r="H46" s="7" t="str">
        <f>'Product Catalogue'!L47</f>
        <v>Active</v>
      </c>
      <c r="I46" s="26" t="str">
        <f t="shared" si="0"/>
        <v>Complete</v>
      </c>
      <c r="J46" s="26" t="str">
        <f t="shared" si="1"/>
        <v>Pass</v>
      </c>
      <c r="K46" s="26" t="str">
        <f t="shared" si="2"/>
        <v>Pass</v>
      </c>
      <c r="L46" s="26" t="str">
        <f t="shared" si="3"/>
        <v>Approved</v>
      </c>
      <c r="M46" s="26"/>
      <c r="N46" s="26"/>
      <c r="O46" s="26"/>
    </row>
    <row r="47" spans="1:15" x14ac:dyDescent="0.25">
      <c r="A47" s="7" t="str">
        <f>'Product Catalogue'!A48</f>
        <v>GRA-MAI-001</v>
      </c>
      <c r="B47" s="7" t="str">
        <f>'Product Catalogue'!B48</f>
        <v>Maize</v>
      </c>
      <c r="C47" s="7" t="str">
        <f>'Product Catalogue'!C48</f>
        <v>Food Commodities</v>
      </c>
      <c r="D47" s="7" t="str">
        <f>'Product Catalogue'!D48</f>
        <v>Grains</v>
      </c>
      <c r="E47" s="7" t="str">
        <f>'Product Catalogue'!E48</f>
        <v>Yellow Maize</v>
      </c>
      <c r="F47" s="7" t="str">
        <f>'Product Catalogue'!F48</f>
        <v>Supplier G</v>
      </c>
      <c r="G47" s="7" t="str">
        <f>'Product Catalogue'!G48</f>
        <v>Yellow; Feed Grade</v>
      </c>
      <c r="H47" s="7" t="str">
        <f>'Product Catalogue'!L48</f>
        <v>Active</v>
      </c>
      <c r="I47" s="26" t="str">
        <f t="shared" si="0"/>
        <v>Complete</v>
      </c>
      <c r="J47" s="26" t="str">
        <f t="shared" si="1"/>
        <v>Pass</v>
      </c>
      <c r="K47" s="26" t="str">
        <f t="shared" si="2"/>
        <v>Pass</v>
      </c>
      <c r="L47" s="26" t="str">
        <f t="shared" si="3"/>
        <v>Approved</v>
      </c>
      <c r="M47" s="26"/>
      <c r="N47" s="26"/>
      <c r="O47" s="26"/>
    </row>
    <row r="48" spans="1:15" x14ac:dyDescent="0.25">
      <c r="A48" s="7" t="str">
        <f>'Product Catalogue'!A49</f>
        <v>GRA-MAI-002</v>
      </c>
      <c r="B48" s="7" t="str">
        <f>'Product Catalogue'!B49</f>
        <v>Yellow Corn</v>
      </c>
      <c r="C48" s="7" t="str">
        <f>'Product Catalogue'!C49</f>
        <v>Food Commodities</v>
      </c>
      <c r="D48" s="7" t="str">
        <f>'Product Catalogue'!D49</f>
        <v>Grains</v>
      </c>
      <c r="E48" s="7" t="str">
        <f>'Product Catalogue'!E49</f>
        <v>Yellow Maize</v>
      </c>
      <c r="F48" s="7" t="str">
        <f>'Product Catalogue'!F49</f>
        <v>Supplier H</v>
      </c>
      <c r="G48" s="7" t="str">
        <f>'Product Catalogue'!G49</f>
        <v>Yellow; Feed Grade</v>
      </c>
      <c r="H48" s="7" t="str">
        <f>'Product Catalogue'!L49</f>
        <v>Duplicate Review</v>
      </c>
      <c r="I48" s="26" t="str">
        <f t="shared" si="0"/>
        <v>Complete</v>
      </c>
      <c r="J48" s="26" t="str">
        <f t="shared" si="1"/>
        <v>Pass</v>
      </c>
      <c r="K48" s="26" t="str">
        <f t="shared" si="2"/>
        <v>Pass</v>
      </c>
      <c r="L48" s="26" t="str">
        <f t="shared" si="3"/>
        <v>Approved</v>
      </c>
      <c r="M48" s="26"/>
      <c r="N48" s="26"/>
      <c r="O48" s="26"/>
    </row>
    <row r="49" spans="1:15" x14ac:dyDescent="0.25">
      <c r="A49" s="7" t="str">
        <f>'Product Catalogue'!A50</f>
        <v>GRA-WHE-001</v>
      </c>
      <c r="B49" s="7" t="str">
        <f>'Product Catalogue'!B50</f>
        <v>Wheat</v>
      </c>
      <c r="C49" s="7" t="str">
        <f>'Product Catalogue'!C50</f>
        <v>Food Commodities</v>
      </c>
      <c r="D49" s="7" t="str">
        <f>'Product Catalogue'!D50</f>
        <v>Grains</v>
      </c>
      <c r="E49" s="7" t="str">
        <f>'Product Catalogue'!E50</f>
        <v>Milling Wheat</v>
      </c>
      <c r="F49" s="7" t="str">
        <f>'Product Catalogue'!F50</f>
        <v>Supplier I</v>
      </c>
      <c r="G49" s="7" t="str">
        <f>'Product Catalogue'!G50</f>
        <v>Milling Grade</v>
      </c>
      <c r="H49" s="7" t="str">
        <f>'Product Catalogue'!L50</f>
        <v>Active</v>
      </c>
      <c r="I49" s="26" t="str">
        <f t="shared" si="0"/>
        <v>Complete</v>
      </c>
      <c r="J49" s="26" t="str">
        <f t="shared" si="1"/>
        <v>Pass</v>
      </c>
      <c r="K49" s="26" t="str">
        <f t="shared" si="2"/>
        <v>Pass</v>
      </c>
      <c r="L49" s="26" t="str">
        <f t="shared" si="3"/>
        <v>Approved</v>
      </c>
      <c r="M49" s="26"/>
      <c r="N49" s="26"/>
      <c r="O49" s="26"/>
    </row>
    <row r="50" spans="1:15" x14ac:dyDescent="0.25">
      <c r="A50" s="7" t="str">
        <f>'Product Catalogue'!A51</f>
        <v>GRA-WHE-002</v>
      </c>
      <c r="B50" s="7" t="str">
        <f>'Product Catalogue'!B51</f>
        <v>Wheat Flour</v>
      </c>
      <c r="C50" s="7" t="str">
        <f>'Product Catalogue'!C51</f>
        <v>Food Commodities</v>
      </c>
      <c r="D50" s="7" t="str">
        <f>'Product Catalogue'!D51</f>
        <v>Grains</v>
      </c>
      <c r="E50" s="7" t="str">
        <f>'Product Catalogue'!E51</f>
        <v>Wheat Flour</v>
      </c>
      <c r="F50" s="7" t="str">
        <f>'Product Catalogue'!F51</f>
        <v>Supplier J</v>
      </c>
      <c r="G50" s="7" t="str">
        <f>'Product Catalogue'!G51</f>
        <v>Food Grade; 50kg Bags</v>
      </c>
      <c r="H50" s="7" t="str">
        <f>'Product Catalogue'!L51</f>
        <v>Active</v>
      </c>
      <c r="I50" s="26" t="str">
        <f t="shared" si="0"/>
        <v>Complete</v>
      </c>
      <c r="J50" s="26" t="str">
        <f t="shared" si="1"/>
        <v>Pass</v>
      </c>
      <c r="K50" s="26" t="str">
        <f t="shared" si="2"/>
        <v>Pass</v>
      </c>
      <c r="L50" s="26" t="str">
        <f t="shared" si="3"/>
        <v>Approved</v>
      </c>
      <c r="M50" s="26"/>
      <c r="N50" s="26"/>
      <c r="O50" s="26"/>
    </row>
    <row r="51" spans="1:15" x14ac:dyDescent="0.25">
      <c r="A51" s="7" t="str">
        <f>'Product Catalogue'!A52</f>
        <v>LEG-SOY-001</v>
      </c>
      <c r="B51" s="7" t="str">
        <f>'Product Catalogue'!B52</f>
        <v>Soybeans</v>
      </c>
      <c r="C51" s="7" t="str">
        <f>'Product Catalogue'!C52</f>
        <v>Food Commodities</v>
      </c>
      <c r="D51" s="7" t="str">
        <f>'Product Catalogue'!D52</f>
        <v>Legumes</v>
      </c>
      <c r="E51" s="7" t="str">
        <f>'Product Catalogue'!E52</f>
        <v>Soybeans</v>
      </c>
      <c r="F51" s="7" t="str">
        <f>'Product Catalogue'!F52</f>
        <v>Supplier A</v>
      </c>
      <c r="G51" s="7" t="str">
        <f>'Product Catalogue'!G52</f>
        <v>Non-GMO; Feed Grade</v>
      </c>
      <c r="H51" s="7" t="str">
        <f>'Product Catalogue'!L52</f>
        <v>Active</v>
      </c>
      <c r="I51" s="26" t="str">
        <f t="shared" si="0"/>
        <v>Complete</v>
      </c>
      <c r="J51" s="26" t="str">
        <f t="shared" si="1"/>
        <v>Pass</v>
      </c>
      <c r="K51" s="26" t="str">
        <f t="shared" si="2"/>
        <v>Pass</v>
      </c>
      <c r="L51" s="26" t="str">
        <f t="shared" si="3"/>
        <v>Approved</v>
      </c>
      <c r="M51" s="26"/>
      <c r="N51" s="26"/>
      <c r="O51" s="26"/>
    </row>
  </sheetData>
  <mergeCells count="1">
    <mergeCell ref="N1:O1"/>
  </mergeCells>
  <pageMargins left="0.25" right="0.25" top="0.75" bottom="0.75" header="0.3" footer="0.3"/>
  <pageSetup paperSize="9" scale="5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DAFD7AA-4207-4F98-BC0E-FEDD82A4452C}">
            <xm:f>NOT(ISERROR(SEARCH($L$38,L2)))</xm:f>
            <xm:f>$L$38</xm:f>
            <x14:dxf>
              <font>
                <color theme="6" tint="-0.24994659260841701"/>
              </font>
            </x14:dxf>
          </x14:cfRule>
          <xm:sqref>L2:L51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'Product Catalogue'!$A$2:$L$2</xm:f>
          </x14:formula1>
          <xm:sqref>A1:C1 E1:H1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view="pageBreakPreview" zoomScaleNormal="80" zoomScaleSheetLayoutView="100" workbookViewId="0">
      <pane ySplit="1" topLeftCell="A3" activePane="bottomLeft" state="frozen"/>
      <selection pane="bottomLeft" activeCell="C11" sqref="C11"/>
    </sheetView>
  </sheetViews>
  <sheetFormatPr defaultRowHeight="15" x14ac:dyDescent="0.25"/>
  <cols>
    <col min="1" max="1" width="25.7109375" customWidth="1"/>
    <col min="2" max="2" width="75.7109375" customWidth="1"/>
  </cols>
  <sheetData>
    <row r="1" spans="1:2" ht="30" customHeight="1" x14ac:dyDescent="0.35">
      <c r="A1" s="34" t="s">
        <v>299</v>
      </c>
      <c r="B1" s="34"/>
    </row>
    <row r="2" spans="1:2" x14ac:dyDescent="0.25">
      <c r="A2" s="26"/>
      <c r="B2" s="26"/>
    </row>
    <row r="3" spans="1:2" ht="39.950000000000003" customHeight="1" x14ac:dyDescent="0.25">
      <c r="A3" s="35" t="s">
        <v>300</v>
      </c>
      <c r="B3" s="33" t="s">
        <v>301</v>
      </c>
    </row>
    <row r="4" spans="1:2" ht="39.950000000000003" customHeight="1" x14ac:dyDescent="0.25">
      <c r="A4" s="35" t="s">
        <v>302</v>
      </c>
      <c r="B4" s="33" t="s">
        <v>303</v>
      </c>
    </row>
    <row r="5" spans="1:2" ht="39.950000000000003" customHeight="1" x14ac:dyDescent="0.25">
      <c r="A5" s="35" t="s">
        <v>304</v>
      </c>
      <c r="B5" s="33" t="s">
        <v>305</v>
      </c>
    </row>
    <row r="6" spans="1:2" ht="39.950000000000003" customHeight="1" x14ac:dyDescent="0.25">
      <c r="A6" s="35" t="s">
        <v>306</v>
      </c>
      <c r="B6" s="33" t="s">
        <v>307</v>
      </c>
    </row>
  </sheetData>
  <mergeCells count="1">
    <mergeCell ref="A1:B1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Product Catalogue</vt:lpstr>
      <vt:lpstr>Duplicate Review</vt:lpstr>
      <vt:lpstr>Taxonomy</vt:lpstr>
      <vt:lpstr>Supplier Mapping</vt:lpstr>
      <vt:lpstr>Data Quality</vt:lpstr>
      <vt:lpstr>PIM Data Management</vt:lpstr>
      <vt:lpstr>Portfolio Overview</vt:lpstr>
      <vt:lpstr>'Data Quality'!Print_Area</vt:lpstr>
      <vt:lpstr>'PIM Data Management'!Print_Area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IVS_Shoneye</dc:creator>
  <cp:lastModifiedBy>Shoneye_IVS</cp:lastModifiedBy>
  <cp:lastPrinted>2026-09-17T09:23:41Z</cp:lastPrinted>
  <dcterms:created xsi:type="dcterms:W3CDTF">2026-09-16T13:25:50Z</dcterms:created>
  <dcterms:modified xsi:type="dcterms:W3CDTF">2026-09-17T10:11:25Z</dcterms:modified>
</cp:coreProperties>
</file>